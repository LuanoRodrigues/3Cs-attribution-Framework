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44580" yWindow="3800" windowWidth="28800" windowHeight="15370" tabRatio="600" firstSheet="0" activeTab="0" autoFilterDateGrouping="1"/>
  </bookViews>
  <sheets>
    <sheet xmlns:r="http://schemas.openxmlformats.org/officeDocument/2006/relationships" name="Project schedule" sheetId="1" state="visible" r:id="rId1"/>
    <sheet xmlns:r="http://schemas.openxmlformats.org/officeDocument/2006/relationships" name="About" sheetId="2" state="visible" r:id="rId2"/>
  </sheets>
  <definedNames>
    <definedName name="Project_Start">'Project schedule'!$P$1</definedName>
    <definedName name="task_end">'Project schedule'!$E$5:$E$23</definedName>
    <definedName name="task_progress" localSheetId="0">'Project schedule'!$C$9:$C$23</definedName>
    <definedName name="task_start" localSheetId="0">'Project schedule'!$D$9:$D$23</definedName>
    <definedName name="today" localSheetId="0">TODAY()</definedName>
    <definedName name="_xlnm.Print_Titles" localSheetId="0">'Project schedule'!$4:$6</definedName>
  </definedNames>
  <calcPr calcId="191028" fullCalcOnLoad="1"/>
</workbook>
</file>

<file path=xl/styles.xml><?xml version="1.0" encoding="utf-8"?>
<styleSheet xmlns="http://schemas.openxmlformats.org/spreadsheetml/2006/main">
  <numFmts count="5">
    <numFmt numFmtId="164" formatCode="m/d/yy;@"/>
    <numFmt numFmtId="165" formatCode="dd/mm/yy;@"/>
    <numFmt numFmtId="166" formatCode="dd/mm/yyyy;@"/>
    <numFmt numFmtId="167" formatCode="0_ ;[Red]\-0\ "/>
    <numFmt numFmtId="168" formatCode="ddd\,\ m/d/yyyy"/>
  </numFmts>
  <fonts count="31">
    <font>
      <name val="Arial"/>
      <family val="2"/>
      <color theme="1"/>
      <sz val="11"/>
      <scheme val="minor"/>
    </font>
    <font>
      <name val="Arial"/>
      <family val="2"/>
      <sz val="10"/>
      <scheme val="minor"/>
    </font>
    <font>
      <name val="Arial"/>
      <family val="2"/>
      <color indexed="12"/>
      <sz val="11"/>
      <u val="single"/>
    </font>
    <font>
      <name val="Arial"/>
      <family val="2"/>
      <sz val="11"/>
      <scheme val="minor"/>
    </font>
    <font>
      <name val="Arial"/>
      <family val="2"/>
      <color theme="1"/>
      <sz val="11"/>
      <scheme val="minor"/>
    </font>
    <font>
      <name val="Arial"/>
      <family val="2"/>
      <color theme="1"/>
      <sz val="14"/>
      <scheme val="minor"/>
    </font>
    <font>
      <name val="Arial Black"/>
      <family val="2"/>
      <b val="1"/>
      <color theme="1" tint="0.3499862666707358"/>
      <sz val="22"/>
      <scheme val="major"/>
    </font>
    <font>
      <name val="Arial"/>
      <family val="2"/>
      <b val="1"/>
      <color theme="1" tint="0.3499862666707358"/>
      <sz val="12"/>
      <scheme val="minor"/>
    </font>
    <font>
      <name val="Arial"/>
      <family val="2"/>
      <b val="1"/>
      <sz val="10"/>
      <scheme val="minor"/>
    </font>
    <font>
      <name val="Arial"/>
      <family val="2"/>
      <color theme="1" tint="0.499984740745262"/>
      <sz val="11"/>
      <scheme val="minor"/>
    </font>
    <font>
      <name val="Arial Black"/>
      <family val="2"/>
      <sz val="20"/>
      <scheme val="major"/>
    </font>
    <font>
      <name val="Arial"/>
      <family val="2"/>
      <color theme="0"/>
      <sz val="11"/>
      <scheme val="minor"/>
    </font>
    <font>
      <name val="Arial"/>
      <family val="2"/>
      <sz val="10"/>
    </font>
    <font>
      <name val="Arial"/>
      <family val="2"/>
      <color theme="1"/>
      <sz val="11"/>
    </font>
    <font>
      <name val="Arial"/>
      <family val="2"/>
      <color theme="1"/>
      <sz val="16"/>
      <scheme val="minor"/>
    </font>
    <font>
      <name val="Arial"/>
      <family val="2"/>
      <b val="1"/>
      <sz val="11"/>
      <scheme val="minor"/>
    </font>
    <font>
      <name val="Arial"/>
      <family val="2"/>
      <color theme="1"/>
      <sz val="10"/>
      <scheme val="minor"/>
    </font>
    <font>
      <name val="Arial"/>
      <family val="2"/>
      <b val="1"/>
      <color theme="1"/>
      <sz val="10"/>
      <scheme val="minor"/>
    </font>
    <font>
      <name val="Arial"/>
      <family val="2"/>
      <b val="1"/>
      <sz val="8"/>
      <scheme val="minor"/>
    </font>
    <font>
      <name val="Arial"/>
      <family val="2"/>
      <i val="1"/>
      <color theme="1"/>
      <sz val="10"/>
      <scheme val="minor"/>
    </font>
    <font>
      <name val="Arial"/>
      <family val="2"/>
      <color theme="1" tint="0.499984740745262"/>
      <sz val="10"/>
      <scheme val="minor"/>
    </font>
    <font>
      <name val="Arial"/>
      <family val="2"/>
      <b val="1"/>
      <color theme="9"/>
      <sz val="16"/>
      <scheme val="minor"/>
    </font>
    <font>
      <name val="Arial Black"/>
      <family val="2"/>
      <b val="1"/>
      <color theme="9"/>
      <sz val="16"/>
      <scheme val="major"/>
    </font>
    <font>
      <name val="Arial Black"/>
      <family val="2"/>
      <b val="1"/>
      <color theme="9"/>
      <sz val="40"/>
      <scheme val="major"/>
    </font>
    <font>
      <name val="Arial"/>
      <family val="2"/>
      <color rgb="FF1D2129"/>
      <sz val="11"/>
      <scheme val="minor"/>
    </font>
    <font>
      <name val="Arial"/>
      <family val="2"/>
      <color indexed="12"/>
      <sz val="11"/>
      <u val="single"/>
      <scheme val="minor"/>
    </font>
    <font>
      <name val="Arial"/>
      <family val="2"/>
      <color theme="1"/>
      <sz val="8"/>
      <scheme val="minor"/>
    </font>
    <font>
      <name val="Arial"/>
      <family val="2"/>
      <b val="1"/>
      <color rgb="FF000000"/>
      <sz val="12"/>
    </font>
    <font>
      <name val="Arial"/>
      <family val="2"/>
      <color rgb="FF000000"/>
      <sz val="10"/>
    </font>
    <font>
      <name val="Arial"/>
      <color rgb="FF000000"/>
      <sz val="9"/>
      <scheme val="minor"/>
    </font>
    <font>
      <name val="Arial"/>
      <family val="2"/>
      <b val="1"/>
      <color theme="1"/>
      <sz val="16"/>
      <scheme val="minor"/>
    </font>
  </fonts>
  <fills count="11">
    <fill>
      <patternFill/>
    </fill>
    <fill>
      <patternFill patternType="gray125"/>
    </fill>
    <fill>
      <patternFill patternType="solid">
        <fgColor theme="0" tint="-0.0499893185216834"/>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theme="0" tint="-0.0499893185216834"/>
        <bgColor theme="4"/>
      </patternFill>
    </fill>
    <fill>
      <patternFill patternType="solid">
        <fgColor theme="0" tint="-0.1499679555650502"/>
        <bgColor indexed="64"/>
      </patternFill>
    </fill>
    <fill>
      <patternFill patternType="solid">
        <fgColor rgb="FFC1A9FC"/>
        <bgColor rgb="FF000000"/>
      </patternFill>
    </fill>
    <fill>
      <patternFill patternType="solid">
        <fgColor rgb="FFE0D3FE"/>
        <bgColor rgb="FF000000"/>
      </patternFill>
    </fill>
    <fill>
      <patternFill patternType="solid">
        <fgColor rgb="FFFF88E4"/>
        <bgColor rgb="FF000000"/>
      </patternFill>
    </fill>
  </fills>
  <borders count="55">
    <border>
      <left/>
      <right/>
      <top/>
      <bottom/>
      <diagonal/>
    </border>
    <border>
      <left/>
      <right/>
      <top style="medium">
        <color theme="0" tint="-0.1499679555650502"/>
      </top>
      <bottom style="medium">
        <color theme="0" tint="-0.149967955565050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1499374370555742"/>
      </left>
      <right style="thin">
        <color theme="0" tint="-0.1499374370555742"/>
      </right>
      <top/>
      <bottom/>
      <diagonal/>
    </border>
    <border>
      <left style="thin">
        <color theme="0" tint="-0.0499893185216834"/>
      </left>
      <right style="thin">
        <color theme="0" tint="-0.0499893185216834"/>
      </right>
      <top style="thin">
        <color theme="0" tint="-0.0499893185216834"/>
      </top>
      <bottom style="thin">
        <color theme="0" tint="-0.0499893185216834"/>
      </bottom>
      <diagonal/>
    </border>
    <border>
      <left/>
      <right/>
      <top style="thin">
        <color theme="5" tint="0.5999633777886288"/>
      </top>
      <bottom style="thin">
        <color theme="5" tint="0.5999633777886288"/>
      </bottom>
      <diagonal/>
    </border>
    <border>
      <left/>
      <right/>
      <top style="thin">
        <color theme="6" tint="0.5999633777886288"/>
      </top>
      <bottom style="thin">
        <color theme="6" tint="0.5999633777886288"/>
      </bottom>
      <diagonal/>
    </border>
    <border>
      <left/>
      <right/>
      <top style="thin">
        <color theme="0" tint="-0.0499893185216834"/>
      </top>
      <bottom/>
      <diagonal/>
    </border>
    <border>
      <left/>
      <right/>
      <top style="thin">
        <color theme="1" tint="0.499984740745262"/>
      </top>
      <bottom/>
      <diagonal/>
    </border>
    <border>
      <left/>
      <right/>
      <top/>
      <bottom style="thin">
        <color theme="1" tint="0.499984740745262"/>
      </bottom>
      <diagonal/>
    </border>
    <border>
      <left style="thin">
        <color theme="0" tint="-0.1499374370555742"/>
      </left>
      <right/>
      <top/>
      <bottom/>
      <diagonal/>
    </border>
    <border>
      <left style="thin">
        <color theme="0" tint="-0.0499893185216834"/>
      </left>
      <right style="thin">
        <color theme="0" tint="-0.0499893185216834"/>
      </right>
      <top/>
      <bottom style="thin">
        <color theme="0" tint="-0.0499893185216834"/>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medium">
        <color theme="0"/>
      </left>
      <right style="thin">
        <color rgb="FF000000"/>
      </right>
      <top/>
      <bottom style="medium">
        <color theme="1"/>
      </bottom>
      <diagonal/>
    </border>
    <border>
      <left style="thick">
        <color theme="1"/>
      </left>
      <right style="thick">
        <color theme="1"/>
      </right>
      <top style="thick">
        <color theme="1"/>
      </top>
      <bottom style="thick">
        <color theme="1"/>
      </bottom>
      <diagonal/>
    </border>
    <border>
      <left/>
      <right/>
      <top/>
      <bottom style="thin">
        <color rgb="FFC1A9FC"/>
      </bottom>
      <diagonal/>
    </border>
    <border>
      <left/>
      <right/>
      <top/>
      <bottom style="thin">
        <color theme="5" tint="0.5999633777886288"/>
      </bottom>
      <diagonal/>
    </border>
    <border>
      <left/>
      <right style="thin">
        <color theme="0" tint="-0.0499893185216834"/>
      </right>
      <top style="thin">
        <color theme="0" tint="-0.0499893185216834"/>
      </top>
      <bottom style="thin">
        <color theme="0" tint="-0.0499893185216834"/>
      </bottom>
      <diagonal/>
    </border>
    <border>
      <left/>
      <right style="thick">
        <color theme="1"/>
      </right>
      <top style="thick">
        <color theme="1"/>
      </top>
      <bottom style="thick">
        <color theme="1"/>
      </bottom>
      <diagonal/>
    </border>
    <border>
      <left/>
      <right style="thin">
        <color theme="0" tint="-0.0499893185216834"/>
      </right>
      <top/>
      <bottom style="thin">
        <color theme="0" tint="-0.0499893185216834"/>
      </bottom>
      <diagonal/>
    </border>
    <border>
      <left/>
      <right style="medium">
        <color theme="0"/>
      </right>
      <top/>
      <bottom/>
      <diagonal/>
    </border>
    <border>
      <left/>
      <right/>
      <top style="medium">
        <color theme="0" tint="-0.1499679555650502"/>
      </top>
      <bottom/>
      <diagonal/>
    </border>
    <border>
      <left/>
      <right/>
      <top/>
      <bottom style="medium">
        <color theme="0" tint="-0.1499679555650502"/>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style="thin">
        <color theme="2"/>
      </right>
      <top style="thin">
        <color theme="2"/>
      </top>
      <bottom style="dotted">
        <color theme="2"/>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style="medium">
        <color theme="1"/>
      </left>
      <right/>
      <top style="thin">
        <color theme="1" tint="0.499984740745262"/>
      </top>
      <bottom/>
      <diagonal/>
    </border>
    <border>
      <left style="medium">
        <color theme="0"/>
      </left>
      <right style="medium">
        <color theme="1"/>
      </right>
      <top/>
      <bottom style="medium">
        <color theme="1"/>
      </bottom>
      <diagonal/>
    </border>
    <border>
      <left style="medium">
        <color theme="1"/>
      </left>
      <right/>
      <top/>
      <bottom style="thin">
        <color theme="1" tint="0.499984740745262"/>
      </bottom>
      <diagonal/>
    </border>
    <border>
      <left/>
      <right style="medium">
        <color theme="1"/>
      </right>
      <top/>
      <bottom/>
      <diagonal/>
    </border>
    <border>
      <left style="medium">
        <color theme="1"/>
      </left>
      <right/>
      <top/>
      <bottom/>
      <diagonal/>
    </border>
    <border>
      <left style="medium">
        <color theme="1"/>
      </left>
      <right/>
      <top/>
      <bottom style="thin">
        <color rgb="FFC1A9FC"/>
      </bottom>
      <diagonal/>
    </border>
    <border>
      <left style="thin">
        <color theme="0" tint="-0.0499893185216834"/>
      </left>
      <right style="medium">
        <color theme="1"/>
      </right>
      <top/>
      <bottom style="thin">
        <color theme="0" tint="-0.0499893185216834"/>
      </bottom>
      <diagonal/>
    </border>
    <border>
      <left style="thin">
        <color theme="0" tint="-0.0499893185216834"/>
      </left>
      <right style="medium">
        <color theme="1"/>
      </right>
      <top style="thin">
        <color theme="0" tint="-0.0499893185216834"/>
      </top>
      <bottom style="thin">
        <color theme="0" tint="-0.0499893185216834"/>
      </bottom>
      <diagonal/>
    </border>
    <border>
      <left style="medium">
        <color theme="1"/>
      </left>
      <right/>
      <top/>
      <bottom style="thin">
        <color theme="5" tint="0.5999633777886288"/>
      </bottom>
      <diagonal/>
    </border>
    <border>
      <left style="medium">
        <color theme="1"/>
      </left>
      <right/>
      <top style="thin">
        <color theme="5" tint="0.5999633777886288"/>
      </top>
      <bottom style="thin">
        <color theme="5" tint="0.5999633777886288"/>
      </bottom>
      <diagonal/>
    </border>
    <border>
      <left style="medium">
        <color theme="1"/>
      </left>
      <right/>
      <top style="thin">
        <color theme="8" tint="0.5999633777886288"/>
      </top>
      <bottom style="medium">
        <color theme="1"/>
      </bottom>
      <diagonal/>
    </border>
    <border>
      <left/>
      <right/>
      <top style="medium">
        <color theme="0" tint="-0.1499679555650502"/>
      </top>
      <bottom style="medium">
        <color theme="1"/>
      </bottom>
      <diagonal/>
    </border>
    <border>
      <left/>
      <right/>
      <top/>
      <bottom style="medium">
        <color theme="1"/>
      </bottom>
      <diagonal/>
    </border>
    <border>
      <left style="thin">
        <color theme="2"/>
      </left>
      <right style="thin">
        <color theme="2"/>
      </right>
      <top style="thin">
        <color theme="2"/>
      </top>
      <bottom style="medium">
        <color theme="1"/>
      </bottom>
      <diagonal/>
    </border>
    <border>
      <left/>
      <right style="thin">
        <color rgb="FF000000"/>
      </right>
      <top/>
      <bottom style="medium">
        <color theme="1"/>
      </bottom>
      <diagonal/>
    </border>
    <border>
      <left/>
      <right/>
      <top style="thin">
        <color theme="2"/>
      </top>
      <bottom/>
      <diagonal/>
    </border>
    <border>
      <left/>
      <right style="thin">
        <color theme="2"/>
      </right>
      <top style="thin">
        <color theme="2"/>
      </top>
      <bottom/>
      <diagonal/>
    </border>
    <border>
      <left/>
      <right/>
      <top style="thin">
        <color theme="1" tint="0.499984740745262"/>
      </top>
      <bottom style="thin">
        <color theme="1" tint="0.499984740745262"/>
      </bottom>
      <diagonal/>
    </border>
    <border>
      <left style="medium">
        <color theme="1"/>
      </left>
      <right/>
      <top style="thin">
        <color theme="1" tint="0.499984740745262"/>
      </top>
      <bottom style="thin">
        <color theme="1" tint="0.499984740745262"/>
      </bottom>
      <diagonal/>
    </border>
    <border>
      <left/>
      <right style="medium">
        <color theme="1"/>
      </right>
      <top style="medium">
        <color theme="1"/>
      </top>
      <bottom/>
      <diagonal/>
    </border>
    <border>
      <left/>
      <right/>
      <top style="medium">
        <color theme="1"/>
      </top>
      <bottom style="medium">
        <color theme="1"/>
      </bottom>
      <diagonal/>
    </border>
    <border>
      <left/>
      <right style="medium">
        <color theme="1"/>
      </right>
      <top style="medium">
        <color theme="1"/>
      </top>
      <bottom style="medium">
        <color theme="1"/>
      </bottom>
      <diagonal/>
    </border>
  </borders>
  <cellStyleXfs count="13">
    <xf numFmtId="0" fontId="4" fillId="0" borderId="0"/>
    <xf numFmtId="0" fontId="2" fillId="0" borderId="0" applyAlignment="1" applyProtection="1">
      <alignment vertical="top"/>
      <protection locked="0" hidden="0"/>
    </xf>
    <xf numFmtId="9" fontId="4" fillId="0" borderId="0"/>
    <xf numFmtId="0" fontId="11" fillId="0" borderId="0"/>
    <xf numFmtId="43" fontId="4" fillId="0" borderId="2"/>
    <xf numFmtId="0" fontId="6" fillId="0" borderId="0"/>
    <xf numFmtId="0" fontId="5" fillId="0" borderId="0"/>
    <xf numFmtId="0" fontId="5" fillId="0" borderId="0" applyAlignment="1">
      <alignment vertical="top"/>
    </xf>
    <xf numFmtId="0" fontId="4" fillId="0" borderId="0" applyAlignment="1">
      <alignment horizontal="right" indent="1"/>
    </xf>
    <xf numFmtId="168" fontId="4" fillId="0" borderId="2" applyAlignment="1">
      <alignment horizontal="center" vertical="center"/>
    </xf>
    <xf numFmtId="164" fontId="4" fillId="0" borderId="1" applyAlignment="1">
      <alignment horizontal="center" vertical="center"/>
    </xf>
    <xf numFmtId="0" fontId="4" fillId="0" borderId="1" applyAlignment="1">
      <alignment horizontal="center" vertical="center"/>
    </xf>
    <xf numFmtId="0" fontId="4" fillId="0" borderId="1" applyAlignment="1">
      <alignment horizontal="left" vertical="center" indent="2"/>
    </xf>
  </cellStyleXfs>
  <cellXfs count="151">
    <xf numFmtId="0" fontId="0" fillId="0" borderId="0" pivotButton="0" quotePrefix="0" xfId="0"/>
    <xf numFmtId="0" fontId="1" fillId="0" borderId="0" pivotButton="0" quotePrefix="0" xfId="0"/>
    <xf numFmtId="0" fontId="0" fillId="0" borderId="0" applyAlignment="1" pivotButton="0" quotePrefix="0" xfId="0">
      <alignment horizontal="right" vertical="center"/>
    </xf>
    <xf numFmtId="0" fontId="3" fillId="0" borderId="1" applyAlignment="1" pivotButton="0" quotePrefix="0" xfId="0">
      <alignment horizontal="center" vertical="center"/>
    </xf>
    <xf numFmtId="0" fontId="3" fillId="2" borderId="1" applyAlignment="1" pivotButton="0" quotePrefix="0" xfId="0">
      <alignment horizontal="center" vertical="center"/>
    </xf>
    <xf numFmtId="0" fontId="1" fillId="0" borderId="0" applyAlignment="1" pivotButton="0" quotePrefix="0" xfId="0">
      <alignment vertical="top"/>
    </xf>
    <xf numFmtId="0" fontId="7" fillId="0" borderId="0" applyAlignment="1" pivotButton="0" quotePrefix="0" xfId="0">
      <alignment horizontal="left" vertical="center"/>
    </xf>
    <xf numFmtId="0" fontId="8" fillId="0" borderId="0" applyAlignment="1" pivotButton="0" quotePrefix="0" xfId="0">
      <alignment horizontal="left" vertical="center"/>
    </xf>
    <xf numFmtId="0" fontId="10" fillId="0" borderId="0" pivotButton="0" quotePrefix="0" xfId="0"/>
    <xf numFmtId="0" fontId="1" fillId="0" borderId="0" applyAlignment="1" pivotButton="0" quotePrefix="0" xfId="0">
      <alignment horizontal="left" vertical="top"/>
    </xf>
    <xf numFmtId="0" fontId="9" fillId="0" borderId="0" applyAlignment="1" pivotButton="0" quotePrefix="0" xfId="0">
      <alignment vertical="top"/>
    </xf>
    <xf numFmtId="0" fontId="11" fillId="0" borderId="0" pivotButton="0" quotePrefix="0" xfId="3"/>
    <xf numFmtId="0" fontId="11" fillId="0" borderId="0" applyAlignment="1" pivotButton="0" quotePrefix="0" xfId="3">
      <alignment wrapText="1"/>
    </xf>
    <xf numFmtId="0" fontId="3" fillId="0" borderId="0" applyAlignment="1" pivotButton="0" quotePrefix="0" xfId="0">
      <alignment horizontal="center" vertical="center"/>
    </xf>
    <xf numFmtId="0" fontId="12" fillId="0" borderId="0" pivotButton="0" quotePrefix="0" xfId="0"/>
    <xf numFmtId="0" fontId="13" fillId="0" borderId="0" pivotButton="0" quotePrefix="0" xfId="0"/>
    <xf numFmtId="0" fontId="14" fillId="0" borderId="0" pivotButton="0" quotePrefix="0" xfId="0"/>
    <xf numFmtId="0" fontId="15" fillId="0" borderId="0" applyAlignment="1" pivotButton="0" quotePrefix="0" xfId="0">
      <alignment horizontal="left" indent="1"/>
    </xf>
    <xf numFmtId="0" fontId="4" fillId="0" borderId="0" pivotButton="0" quotePrefix="0" xfId="0"/>
    <xf numFmtId="0" fontId="4" fillId="0" borderId="0" applyAlignment="1" pivotButton="0" quotePrefix="0" xfId="8">
      <alignment horizontal="right" indent="1"/>
    </xf>
    <xf numFmtId="0" fontId="1" fillId="0" borderId="0" applyAlignment="1" pivotButton="0" quotePrefix="0" xfId="1">
      <alignment horizontal="left" vertical="top" indent="1"/>
    </xf>
    <xf numFmtId="0" fontId="16" fillId="0" borderId="0" pivotButton="0" quotePrefix="0" xfId="0"/>
    <xf numFmtId="0" fontId="16" fillId="3" borderId="5" applyAlignment="1" pivotButton="0" quotePrefix="0" xfId="12">
      <alignment horizontal="left" vertical="center" indent="2"/>
    </xf>
    <xf numFmtId="0" fontId="16" fillId="4" borderId="6" applyAlignment="1" pivotButton="0" quotePrefix="0" xfId="12">
      <alignment horizontal="left" vertical="center" indent="2"/>
    </xf>
    <xf numFmtId="0" fontId="16" fillId="0" borderId="0" applyAlignment="1" pivotButton="0" quotePrefix="0" xfId="12">
      <alignment horizontal="left" vertical="center" indent="2"/>
    </xf>
    <xf numFmtId="0" fontId="19" fillId="2" borderId="0" applyAlignment="1" pivotButton="0" quotePrefix="0" xfId="0">
      <alignment horizontal="left" vertical="center" indent="1"/>
    </xf>
    <xf numFmtId="0" fontId="21" fillId="0" borderId="0" applyAlignment="1" pivotButton="0" quotePrefix="0" xfId="6">
      <alignment horizontal="left" vertical="center" indent="1"/>
    </xf>
    <xf numFmtId="0" fontId="23" fillId="0" borderId="0" applyAlignment="1" pivotButton="0" quotePrefix="0" xfId="5">
      <alignment horizontal="left"/>
    </xf>
    <xf numFmtId="0" fontId="7" fillId="0" borderId="0" applyAlignment="1" pivotButton="0" quotePrefix="0" xfId="0">
      <alignment horizontal="left" vertical="center" indent="1"/>
    </xf>
    <xf numFmtId="0" fontId="3" fillId="0" borderId="0" applyAlignment="1" pivotButton="0" quotePrefix="0" xfId="0">
      <alignment horizontal="left" vertical="top" indent="1"/>
    </xf>
    <xf numFmtId="0" fontId="21" fillId="0" borderId="0" applyAlignment="1" pivotButton="0" quotePrefix="0" xfId="0">
      <alignment horizontal="left" vertical="center" indent="1"/>
    </xf>
    <xf numFmtId="0" fontId="24" fillId="0" borderId="0" applyAlignment="1" pivotButton="0" quotePrefix="0" xfId="0">
      <alignment horizontal="left" vertical="top" wrapText="1" indent="1"/>
    </xf>
    <xf numFmtId="0" fontId="0" fillId="0" borderId="0" applyAlignment="1" pivotButton="0" quotePrefix="0" xfId="0">
      <alignment horizontal="left" vertical="top" wrapText="1" indent="1"/>
    </xf>
    <xf numFmtId="0" fontId="25" fillId="0" borderId="0" applyAlignment="1" pivotButton="0" quotePrefix="0" xfId="1">
      <alignment horizontal="left" vertical="top" indent="1"/>
    </xf>
    <xf numFmtId="0" fontId="1" fillId="0" borderId="0" applyAlignment="1" pivotButton="0" quotePrefix="0" xfId="0">
      <alignment horizontal="left" vertical="top" indent="1"/>
    </xf>
    <xf numFmtId="164" fontId="11" fillId="0" borderId="0" applyAlignment="1" pivotButton="0" quotePrefix="0" xfId="3">
      <alignment wrapText="1"/>
    </xf>
    <xf numFmtId="0" fontId="0" fillId="0" borderId="4" applyAlignment="1" pivotButton="0" quotePrefix="0" xfId="0">
      <alignment vertical="center"/>
    </xf>
    <xf numFmtId="0" fontId="0" fillId="2" borderId="0" applyAlignment="1" pivotButton="0" quotePrefix="0" xfId="0">
      <alignment vertical="center"/>
    </xf>
    <xf numFmtId="0" fontId="0" fillId="0" borderId="11" applyAlignment="1" pivotButton="0" quotePrefix="0" xfId="0">
      <alignment vertical="center"/>
    </xf>
    <xf numFmtId="0" fontId="4" fillId="0" borderId="12" pivotButton="0" quotePrefix="0" xfId="0"/>
    <xf numFmtId="0" fontId="4" fillId="0" borderId="13" pivotButton="0" quotePrefix="0" xfId="0"/>
    <xf numFmtId="0" fontId="4" fillId="0" borderId="14" pivotButton="0" quotePrefix="0" xfId="0"/>
    <xf numFmtId="165" fontId="18" fillId="7" borderId="15" applyAlignment="1" pivotButton="0" quotePrefix="0" xfId="0">
      <alignment horizontal="center" vertical="center" wrapText="1"/>
    </xf>
    <xf numFmtId="0" fontId="27" fillId="8" borderId="0" pivotButton="0" quotePrefix="0" xfId="0"/>
    <xf numFmtId="0" fontId="28" fillId="9" borderId="17" pivotButton="0" quotePrefix="0" xfId="0"/>
    <xf numFmtId="166" fontId="12" fillId="0" borderId="0" applyAlignment="1" pivotButton="0" quotePrefix="0" xfId="0">
      <alignment horizontal="center"/>
    </xf>
    <xf numFmtId="166" fontId="13" fillId="0" borderId="0" applyAlignment="1" pivotButton="0" quotePrefix="0" xfId="0">
      <alignment horizontal="center"/>
    </xf>
    <xf numFmtId="166" fontId="4" fillId="0" borderId="0" applyAlignment="1" pivotButton="0" quotePrefix="0" xfId="0">
      <alignment horizontal="center"/>
    </xf>
    <xf numFmtId="166" fontId="20" fillId="2" borderId="0" applyAlignment="1" pivotButton="0" quotePrefix="0" xfId="0">
      <alignment horizontal="left" vertical="center"/>
    </xf>
    <xf numFmtId="166" fontId="0" fillId="0" borderId="0" applyAlignment="1" pivotButton="0" quotePrefix="0" xfId="0">
      <alignment horizontal="center"/>
    </xf>
    <xf numFmtId="166" fontId="12" fillId="0" borderId="0" applyAlignment="1" pivotButton="0" quotePrefix="0" xfId="0">
      <alignment horizontal="center" vertical="center"/>
    </xf>
    <xf numFmtId="166" fontId="13" fillId="0" borderId="0" pivotButton="0" quotePrefix="0" xfId="0"/>
    <xf numFmtId="166" fontId="4" fillId="0" borderId="0" pivotButton="0" quotePrefix="0" xfId="0"/>
    <xf numFmtId="166" fontId="1" fillId="2" borderId="0" applyAlignment="1" pivotButton="0" quotePrefix="0" xfId="0">
      <alignment horizontal="center" vertical="center"/>
    </xf>
    <xf numFmtId="166" fontId="0" fillId="0" borderId="0" pivotButton="0" quotePrefix="0" xfId="0"/>
    <xf numFmtId="166" fontId="11" fillId="0" borderId="0" applyAlignment="1" pivotButton="0" quotePrefix="0" xfId="0">
      <alignment horizontal="center"/>
    </xf>
    <xf numFmtId="165" fontId="26" fillId="2" borderId="0" applyAlignment="1" pivotButton="0" quotePrefix="0" xfId="0">
      <alignment horizontal="center" vertical="center" shrinkToFit="1"/>
    </xf>
    <xf numFmtId="167" fontId="5" fillId="0" borderId="16" applyAlignment="1" pivotButton="0" quotePrefix="0" xfId="6">
      <alignment vertical="center"/>
    </xf>
    <xf numFmtId="0" fontId="0" fillId="0" borderId="0" applyAlignment="1" pivotButton="0" quotePrefix="0" xfId="0">
      <alignment vertical="center"/>
    </xf>
    <xf numFmtId="9" fontId="1" fillId="2" borderId="0" applyAlignment="1" pivotButton="0" quotePrefix="0" xfId="2">
      <alignment horizontal="center" vertical="center"/>
    </xf>
    <xf numFmtId="165" fontId="27" fillId="10" borderId="18" pivotButton="0" quotePrefix="0" xfId="0"/>
    <xf numFmtId="0" fontId="27" fillId="10" borderId="18" pivotButton="0" quotePrefix="0" xfId="0"/>
    <xf numFmtId="0" fontId="0" fillId="0" borderId="7" applyAlignment="1" pivotButton="0" quotePrefix="0" xfId="0">
      <alignment vertical="center"/>
    </xf>
    <xf numFmtId="14" fontId="0" fillId="0" borderId="7" applyAlignment="1" pivotButton="0" quotePrefix="0" xfId="0">
      <alignment vertical="center"/>
    </xf>
    <xf numFmtId="0" fontId="0" fillId="0" borderId="10" applyAlignment="1" pivotButton="0" quotePrefix="0" xfId="0">
      <alignment vertical="center"/>
    </xf>
    <xf numFmtId="0" fontId="0" fillId="0" borderId="3" applyAlignment="1" pivotButton="0" quotePrefix="0" xfId="0">
      <alignment vertical="center"/>
    </xf>
    <xf numFmtId="0" fontId="0" fillId="0" borderId="21" applyAlignment="1" pivotButton="0" quotePrefix="0" xfId="0">
      <alignment vertical="center"/>
    </xf>
    <xf numFmtId="0" fontId="0" fillId="0" borderId="19" applyAlignment="1" pivotButton="0" quotePrefix="0" xfId="0">
      <alignment vertical="center"/>
    </xf>
    <xf numFmtId="0" fontId="0" fillId="0" borderId="22" applyAlignment="1" pivotButton="0" quotePrefix="0" xfId="0">
      <alignment vertical="center"/>
    </xf>
    <xf numFmtId="167" fontId="5" fillId="0" borderId="20" applyAlignment="1" pivotButton="0" quotePrefix="0" xfId="6">
      <alignment vertical="center"/>
    </xf>
    <xf numFmtId="0" fontId="3" fillId="0" borderId="23" applyAlignment="1" pivotButton="0" quotePrefix="0" xfId="0">
      <alignment horizontal="center" vertical="center"/>
    </xf>
    <xf numFmtId="0" fontId="3" fillId="0" borderId="24" applyAlignment="1" pivotButton="0" quotePrefix="0" xfId="0">
      <alignment horizontal="center" vertical="center"/>
    </xf>
    <xf numFmtId="0" fontId="0" fillId="0" borderId="25" applyAlignment="1" pivotButton="0" quotePrefix="0" xfId="0">
      <alignment vertical="center"/>
    </xf>
    <xf numFmtId="0" fontId="0" fillId="0" borderId="26" applyAlignment="1" pivotButton="0" quotePrefix="0" xfId="0">
      <alignment vertical="center"/>
    </xf>
    <xf numFmtId="0" fontId="0" fillId="0" borderId="27"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horizontal="center" vertical="center"/>
    </xf>
    <xf numFmtId="0" fontId="0" fillId="0" borderId="25" applyAlignment="1" pivotButton="0" quotePrefix="0" xfId="0">
      <alignment horizontal="right" vertical="center"/>
    </xf>
    <xf numFmtId="0" fontId="29" fillId="0" borderId="25" applyAlignment="1" pivotButton="0" quotePrefix="0" xfId="0">
      <alignment horizontal="center" vertical="center"/>
    </xf>
    <xf numFmtId="0" fontId="0" fillId="0" borderId="29" applyAlignment="1" pivotButton="0" quotePrefix="0" xfId="0">
      <alignment vertical="center"/>
    </xf>
    <xf numFmtId="0" fontId="0" fillId="0" borderId="30" pivotButton="0" quotePrefix="0" xfId="0"/>
    <xf numFmtId="166" fontId="0" fillId="0" borderId="32" applyAlignment="1" pivotButton="0" quotePrefix="0" xfId="0">
      <alignment horizontal="left" indent="1"/>
    </xf>
    <xf numFmtId="166" fontId="0" fillId="0" borderId="32" pivotButton="0" quotePrefix="0" xfId="0"/>
    <xf numFmtId="0" fontId="0" fillId="0" borderId="32" pivotButton="0" quotePrefix="0" xfId="0"/>
    <xf numFmtId="165" fontId="18" fillId="7" borderId="34" applyAlignment="1" pivotButton="0" quotePrefix="0" xfId="0">
      <alignment horizontal="center" vertical="center" wrapText="1"/>
    </xf>
    <xf numFmtId="165" fontId="26" fillId="2" borderId="36" applyAlignment="1" pivotButton="0" quotePrefix="0" xfId="0">
      <alignment horizontal="center" vertical="center" shrinkToFit="1"/>
    </xf>
    <xf numFmtId="0" fontId="16" fillId="0" borderId="37" pivotButton="0" quotePrefix="0" xfId="0"/>
    <xf numFmtId="166" fontId="16" fillId="0" borderId="0" pivotButton="0" quotePrefix="0" xfId="0"/>
    <xf numFmtId="0" fontId="0" fillId="0" borderId="36" applyAlignment="1" pivotButton="0" quotePrefix="0" xfId="0">
      <alignment vertical="center"/>
    </xf>
    <xf numFmtId="0" fontId="27" fillId="8" borderId="37" pivotButton="0" quotePrefix="0" xfId="0"/>
    <xf numFmtId="9" fontId="28" fillId="9" borderId="38" pivotButton="0" quotePrefix="0" xfId="0"/>
    <xf numFmtId="164" fontId="4" fillId="0" borderId="1" applyAlignment="1" pivotButton="0" quotePrefix="0" xfId="10">
      <alignment horizontal="center" vertical="center"/>
    </xf>
    <xf numFmtId="0" fontId="0" fillId="0" borderId="39" applyAlignment="1" pivotButton="0" quotePrefix="0" xfId="0">
      <alignment vertical="center"/>
    </xf>
    <xf numFmtId="0" fontId="0" fillId="0" borderId="40" applyAlignment="1" pivotButton="0" quotePrefix="0" xfId="0">
      <alignment vertical="center"/>
    </xf>
    <xf numFmtId="0" fontId="27" fillId="10" borderId="41" pivotButton="0" quotePrefix="0" xfId="0"/>
    <xf numFmtId="9" fontId="1" fillId="3" borderId="42" applyAlignment="1" pivotButton="0" quotePrefix="0" xfId="2">
      <alignment horizontal="center" vertical="center"/>
    </xf>
    <xf numFmtId="9" fontId="1" fillId="5" borderId="43" applyAlignment="1" pivotButton="0" quotePrefix="0" xfId="2">
      <alignment horizontal="center" vertical="center"/>
    </xf>
    <xf numFmtId="164" fontId="4" fillId="0" borderId="44" applyAlignment="1" pivotButton="0" quotePrefix="0" xfId="10">
      <alignment horizontal="center" vertical="center"/>
    </xf>
    <xf numFmtId="0" fontId="3" fillId="0" borderId="45" applyAlignment="1" pivotButton="0" quotePrefix="0" xfId="0">
      <alignment horizontal="center" vertical="center"/>
    </xf>
    <xf numFmtId="0" fontId="3" fillId="0" borderId="44" applyAlignment="1" pivotButton="0" quotePrefix="0" xfId="0">
      <alignment horizontal="center" vertical="center"/>
    </xf>
    <xf numFmtId="0" fontId="0" fillId="0" borderId="46" applyAlignment="1" pivotButton="0" quotePrefix="0" xfId="0">
      <alignment vertical="center"/>
    </xf>
    <xf numFmtId="165" fontId="18" fillId="7" borderId="47" applyAlignment="1" pivotButton="0" quotePrefix="0" xfId="0">
      <alignment horizontal="center" vertical="center" wrapText="1"/>
    </xf>
    <xf numFmtId="0" fontId="30" fillId="0" borderId="31" pivotButton="0" quotePrefix="0" xfId="0"/>
    <xf numFmtId="0" fontId="22" fillId="0" borderId="0" applyAlignment="1" pivotButton="0" quotePrefix="0" xfId="0">
      <alignment horizontal="left"/>
    </xf>
    <xf numFmtId="166" fontId="22" fillId="0" borderId="0" applyAlignment="1" pivotButton="0" quotePrefix="0" xfId="9">
      <alignment horizontal="left" wrapText="1"/>
    </xf>
    <xf numFmtId="0" fontId="21" fillId="0" borderId="0" applyAlignment="1" pivotButton="0" quotePrefix="0" xfId="8">
      <alignment horizontal="left"/>
    </xf>
    <xf numFmtId="167" fontId="5" fillId="0" borderId="30" applyAlignment="1" pivotButton="0" quotePrefix="0" xfId="6">
      <alignment horizontal="center" vertical="center"/>
    </xf>
    <xf numFmtId="0" fontId="11" fillId="0" borderId="0" applyAlignment="1" pivotButton="0" quotePrefix="0" xfId="3">
      <alignment wrapText="1"/>
    </xf>
    <xf numFmtId="0" fontId="17" fillId="6" borderId="8" applyAlignment="1" pivotButton="0" quotePrefix="0" xfId="0">
      <alignment horizontal="left" vertical="center" indent="1"/>
    </xf>
    <xf numFmtId="0" fontId="17" fillId="6" borderId="9" applyAlignment="1" pivotButton="0" quotePrefix="0" xfId="0">
      <alignment horizontal="left" vertical="center" indent="1"/>
    </xf>
    <xf numFmtId="0" fontId="17" fillId="6" borderId="33" applyAlignment="1" pivotButton="0" quotePrefix="0" xfId="0">
      <alignment horizontal="center" vertical="center"/>
    </xf>
    <xf numFmtId="0" fontId="17" fillId="6" borderId="35" applyAlignment="1" pivotButton="0" quotePrefix="0" xfId="0">
      <alignment horizontal="center" vertical="center"/>
    </xf>
    <xf numFmtId="166" fontId="17" fillId="6" borderId="8" applyAlignment="1" pivotButton="0" quotePrefix="0" xfId="0">
      <alignment horizontal="center" vertical="center"/>
    </xf>
    <xf numFmtId="166" fontId="17" fillId="6" borderId="9" applyAlignment="1" pivotButton="0" quotePrefix="0" xfId="0">
      <alignment horizontal="center" vertical="center"/>
    </xf>
    <xf numFmtId="0" fontId="0" fillId="0" borderId="25" applyAlignment="1" pivotButton="0" quotePrefix="0" xfId="0">
      <alignment horizontal="center" vertical="center"/>
    </xf>
    <xf numFmtId="166" fontId="0" fillId="0" borderId="0" applyAlignment="1" pivotButton="0" quotePrefix="0" xfId="0">
      <alignment horizontal="center"/>
    </xf>
    <xf numFmtId="166" fontId="0" fillId="0" borderId="0" pivotButton="0" quotePrefix="0" xfId="0"/>
    <xf numFmtId="164" fontId="11" fillId="0" borderId="0" applyAlignment="1" pivotButton="0" quotePrefix="0" xfId="3">
      <alignment wrapText="1"/>
    </xf>
    <xf numFmtId="166" fontId="12" fillId="0" borderId="0" applyAlignment="1" pivotButton="0" quotePrefix="0" xfId="0">
      <alignment horizontal="center"/>
    </xf>
    <xf numFmtId="166" fontId="12" fillId="0" borderId="0" applyAlignment="1" pivotButton="0" quotePrefix="0" xfId="0">
      <alignment horizontal="center" vertical="center"/>
    </xf>
    <xf numFmtId="166" fontId="22" fillId="0" borderId="0" applyAlignment="1" pivotButton="0" quotePrefix="0" xfId="9">
      <alignment horizontal="left" wrapText="1"/>
    </xf>
    <xf numFmtId="166" fontId="13" fillId="0" borderId="0" applyAlignment="1" pivotButton="0" quotePrefix="0" xfId="0">
      <alignment horizontal="center"/>
    </xf>
    <xf numFmtId="166" fontId="13" fillId="0" borderId="0" pivotButton="0" quotePrefix="0" xfId="0"/>
    <xf numFmtId="166" fontId="4" fillId="0" borderId="0" applyAlignment="1" pivotButton="0" quotePrefix="0" xfId="0">
      <alignment horizontal="center"/>
    </xf>
    <xf numFmtId="166" fontId="4" fillId="0" borderId="0" pivotButton="0" quotePrefix="0" xfId="0"/>
    <xf numFmtId="166" fontId="0" fillId="0" borderId="32" applyAlignment="1" pivotButton="0" quotePrefix="0" xfId="0">
      <alignment horizontal="left" indent="1"/>
    </xf>
    <xf numFmtId="166" fontId="0" fillId="0" borderId="32" pivotButton="0" quotePrefix="0" xfId="0"/>
    <xf numFmtId="167" fontId="5" fillId="0" borderId="30" applyAlignment="1" pivotButton="0" quotePrefix="0" xfId="6">
      <alignment horizontal="center" vertical="center"/>
    </xf>
    <xf numFmtId="0" fontId="0" fillId="0" borderId="53" pivotButton="0" quotePrefix="0" xfId="0"/>
    <xf numFmtId="0" fontId="0" fillId="0" borderId="54" pivotButton="0" quotePrefix="0" xfId="0"/>
    <xf numFmtId="167" fontId="5" fillId="0" borderId="20" applyAlignment="1" pivotButton="0" quotePrefix="0" xfId="6">
      <alignment vertical="center"/>
    </xf>
    <xf numFmtId="167" fontId="5" fillId="0" borderId="16" applyAlignment="1" pivotButton="0" quotePrefix="0" xfId="6">
      <alignment vertical="center"/>
    </xf>
    <xf numFmtId="0" fontId="17" fillId="6" borderId="50" applyAlignment="1" pivotButton="0" quotePrefix="0" xfId="0">
      <alignment horizontal="left" vertical="center" indent="1"/>
    </xf>
    <xf numFmtId="0" fontId="17" fillId="6" borderId="51" applyAlignment="1" pivotButton="0" quotePrefix="0" xfId="0">
      <alignment horizontal="center" vertical="center"/>
    </xf>
    <xf numFmtId="166" fontId="17" fillId="6" borderId="50" applyAlignment="1" pivotButton="0" quotePrefix="0" xfId="0">
      <alignment horizontal="center" vertical="center"/>
    </xf>
    <xf numFmtId="165" fontId="18" fillId="7" borderId="15" applyAlignment="1" pivotButton="0" quotePrefix="0" xfId="0">
      <alignment horizontal="center" vertical="center" wrapText="1"/>
    </xf>
    <xf numFmtId="165" fontId="18" fillId="7" borderId="34" applyAlignment="1" pivotButton="0" quotePrefix="0" xfId="0">
      <alignment horizontal="center" vertical="center" wrapText="1"/>
    </xf>
    <xf numFmtId="165" fontId="18" fillId="7" borderId="47" applyAlignment="1" pivotButton="0" quotePrefix="0" xfId="0">
      <alignment horizontal="center" vertical="center" wrapText="1"/>
    </xf>
    <xf numFmtId="0" fontId="0" fillId="0" borderId="9" pivotButton="0" quotePrefix="0" xfId="0"/>
    <xf numFmtId="0" fontId="0" fillId="0" borderId="35" pivotButton="0" quotePrefix="0" xfId="0"/>
    <xf numFmtId="165" fontId="26" fillId="2" borderId="0" applyAlignment="1" pivotButton="0" quotePrefix="0" xfId="0">
      <alignment horizontal="center" vertical="center" shrinkToFit="1"/>
    </xf>
    <xf numFmtId="165" fontId="26" fillId="2" borderId="36" applyAlignment="1" pivotButton="0" quotePrefix="0" xfId="0">
      <alignment horizontal="center" vertical="center" shrinkToFit="1"/>
    </xf>
    <xf numFmtId="166" fontId="16" fillId="0" borderId="0" pivotButton="0" quotePrefix="0" xfId="0"/>
    <xf numFmtId="164" fontId="4" fillId="0" borderId="1" applyAlignment="1" pivotButton="0" quotePrefix="0" xfId="10">
      <alignment horizontal="center" vertical="center"/>
    </xf>
    <xf numFmtId="165" fontId="27" fillId="10" borderId="18" pivotButton="0" quotePrefix="0" xfId="0"/>
    <xf numFmtId="0" fontId="0" fillId="0" borderId="27" pivotButton="0" quotePrefix="0" xfId="0"/>
    <xf numFmtId="0" fontId="0" fillId="0" borderId="28" pivotButton="0" quotePrefix="0" xfId="0"/>
    <xf numFmtId="164" fontId="4" fillId="0" borderId="44" applyAlignment="1" pivotButton="0" quotePrefix="0" xfId="10">
      <alignment horizontal="center" vertical="center"/>
    </xf>
    <xf numFmtId="166" fontId="20" fillId="2" borderId="0" applyAlignment="1" pivotButton="0" quotePrefix="0" xfId="0">
      <alignment horizontal="left" vertical="center"/>
    </xf>
    <xf numFmtId="166" fontId="1" fillId="2" borderId="0" applyAlignment="1" pivotButton="0" quotePrefix="0" xfId="0">
      <alignment horizontal="center" vertical="center"/>
    </xf>
    <xf numFmtId="166" fontId="11" fillId="0" borderId="0" applyAlignment="1" pivotButton="0" quotePrefix="0" xfId="0">
      <alignment horizontal="center"/>
    </xf>
  </cellXfs>
  <cellStyles count="13">
    <cellStyle name="Normal" xfId="0" builtinId="0"/>
    <cellStyle name="Hyperlink" xfId="1" builtinId="8"/>
    <cellStyle name="Per cent" xfId="2" builtinId="5"/>
    <cellStyle name="zHiddenText" xfId="3"/>
    <cellStyle name="Comma" xfId="4" builtinId="3"/>
    <cellStyle name="Title" xfId="5" builtinId="15"/>
    <cellStyle name="Heading 1" xfId="6" builtinId="16"/>
    <cellStyle name="Heading 2" xfId="7" builtinId="17"/>
    <cellStyle name="Heading 3" xfId="8" builtinId="18"/>
    <cellStyle name="Project Start" xfId="9"/>
    <cellStyle name="Date" xfId="10"/>
    <cellStyle name="Name" xfId="11"/>
    <cellStyle name="Task" xfId="12"/>
  </cellStyles>
  <dxfs count="26">
    <dxf>
      <font>
        <color theme="1"/>
      </font>
      <fill>
        <patternFill patternType="solid">
          <bgColor theme="5" tint="0.7999816888943144"/>
        </patternFill>
      </fill>
    </dxf>
    <dxf>
      <font>
        <color theme="1"/>
      </font>
      <fill>
        <patternFill patternType="solid">
          <bgColor theme="8"/>
        </patternFill>
      </fill>
    </dxf>
    <dxf>
      <font>
        <color theme="1"/>
      </font>
      <fill>
        <patternFill patternType="solid">
          <bgColor theme="8" tint="0.7999816888943144"/>
        </patternFill>
      </fill>
    </dxf>
    <dxf>
      <font>
        <color theme="1"/>
      </font>
      <fill>
        <patternFill patternType="solid">
          <bgColor theme="5" tint="0.5999633777886288"/>
        </patternFill>
      </fill>
    </dxf>
    <dxf>
      <font>
        <color theme="1"/>
      </font>
      <fill>
        <patternFill patternType="solid">
          <bgColor theme="5" tint="0.7999816888943144"/>
        </patternFill>
      </fill>
    </dxf>
    <dxf>
      <font>
        <color theme="1"/>
      </font>
      <fill>
        <patternFill patternType="solid">
          <bgColor theme="5" tint="0.7999816888943144"/>
        </patternFill>
      </fill>
    </dxf>
    <dxf>
      <font>
        <color rgb="FF9C0006"/>
      </font>
      <fill>
        <patternFill patternType="solid">
          <bgColor theme="5" tint="0.5999938962981048"/>
        </patternFill>
      </fill>
    </dxf>
    <dxf>
      <font>
        <color theme="1"/>
      </font>
      <fill>
        <patternFill patternType="solid">
          <bgColor theme="5" tint="0.7999816888943144"/>
        </patternFill>
      </fill>
    </dxf>
    <dxf>
      <font>
        <color theme="1"/>
      </font>
      <fill>
        <patternFill patternType="solid">
          <bgColor theme="8"/>
        </patternFill>
      </fill>
    </dxf>
    <dxf>
      <font>
        <color theme="1"/>
      </font>
      <fill>
        <patternFill patternType="solid">
          <bgColor theme="8" tint="0.7999816888943144"/>
        </patternFill>
      </fill>
    </dxf>
    <dxf>
      <font>
        <color theme="1"/>
      </font>
      <fill>
        <patternFill patternType="solid">
          <bgColor theme="5" tint="0.5999633777886288"/>
        </patternFill>
      </fill>
    </dxf>
    <dxf>
      <font>
        <color theme="1"/>
      </font>
      <fill>
        <patternFill patternType="solid">
          <bgColor theme="4" tint="0.5999938962981048"/>
        </patternFill>
      </fill>
    </dxf>
    <dxf>
      <font>
        <color rgb="FF9C0006"/>
      </font>
      <fill>
        <patternFill patternType="solid">
          <bgColor theme="5" tint="0.5999938962981048"/>
        </patternFill>
      </fill>
    </dxf>
    <dxf>
      <font>
        <color theme="1"/>
      </font>
      <fill>
        <patternFill patternType="solid">
          <bgColor theme="5" tint="0.7999816888943144"/>
        </patternFill>
      </fill>
    </dxf>
    <dxf>
      <font>
        <color theme="1"/>
      </font>
      <fill>
        <patternFill patternType="solid">
          <bgColor theme="5" tint="0.7999816888943144"/>
        </patternFill>
      </fill>
    </dxf>
    <dxf>
      <font>
        <color theme="1"/>
      </font>
      <fill>
        <patternFill patternType="solid">
          <bgColor theme="4" tint="0.3999755851924192"/>
        </patternFill>
      </fill>
    </dxf>
    <dxf>
      <border>
        <left style="thin">
          <color theme="5"/>
        </left>
        <right style="thin">
          <color theme="5"/>
        </right>
        <vertical/>
        <horizontal/>
      </border>
    </dxf>
    <dxf>
      <border>
        <left style="thin">
          <color theme="0" tint="-0.249946592608417"/>
        </left>
      </border>
    </dxf>
    <dxf>
      <border>
        <left style="thin">
          <color theme="0" tint="-0.249946592608417"/>
        </left>
      </border>
    </dxf>
    <dxf>
      <border>
        <top style="thin">
          <color theme="4" tint="0.3999450666829432"/>
        </top>
      </border>
    </dxf>
    <dxf>
      <fill>
        <patternFill>
          <bgColor theme="0" tint="-0.0499893185216834"/>
        </patternFill>
      </fill>
      <border>
        <top style="thin">
          <color theme="4" tint="0.3999450666829432"/>
        </top>
      </border>
    </dxf>
    <dxf>
      <font>
        <b val="1"/>
        <color theme="1"/>
      </font>
    </dxf>
    <dxf>
      <font>
        <color theme="1"/>
      </font>
      <border>
        <left style="thin">
          <color theme="4"/>
        </left>
      </border>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tableStyleElement type="wholeTable" dxfId="25"/>
      <tableStyleElement type="headerRow" dxfId="24"/>
      <tableStyleElement type="totalRow" dxfId="23"/>
      <tableStyleElement type="firstColumn" dxfId="22"/>
      <tableStyleElement type="lastColumn" dxfId="21"/>
      <tableStyleElement type="firstRowStripe" dxfId="20"/>
      <tableStyleElement type="secondRowStripe" dxfId="19"/>
      <tableStyleElement type="firstColumnStripe" dxfId="18"/>
      <tableStyleElement type="secondColumnStripe" dxfId="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68</col>
      <colOff>596900</colOff>
      <row>18</row>
      <rowOff>361950</rowOff>
    </from>
    <to>
      <col>70</col>
      <colOff>549767</colOff>
      <row>19</row>
      <rowOff>273583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4408150" y="7029450"/>
          <a:ext cx="1286367" cy="29263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0</colOff>
      <row>0</row>
      <rowOff>95250</rowOff>
    </from>
    <to>
      <col>0</col>
      <colOff>1905000</colOff>
      <row>0</row>
      <rowOff>523875</rowOff>
    </to>
    <pic>
      <nvPicPr>
        <cNvPr id="2" name="Picture 1" descr="Vertex42 logo">
          <a:hlinkClick xmlns:a="http://schemas.openxmlformats.org/drawingml/2006/main" xmlns:r="http://schemas.openxmlformats.org/officeDocument/2006/relationships" r:id="rId1"/>
        </cNvPr>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90500" y="95250"/>
          <a:ext cx="1905000" cy="42862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www.vertex42.com/ExcelTemplates/simple-gantt-chart.html?utm_source=ms&amp;utm_medium=file&amp;utm_campaign=office&amp;utm_content=text" TargetMode="External" Id="rId1"/><Relationship Type="http://schemas.openxmlformats.org/officeDocument/2006/relationships/hyperlink" Target="https://www.vertex42.com/ExcelTemplates/simple-gantt-chart.html?utm_source=ms&amp;utm_medium=file&amp;utm_campaign=office&amp;utm_content=help" TargetMode="External" Id="rId2"/><Relationship Type="http://schemas.openxmlformats.org/officeDocument/2006/relationships/hyperlink" Target="https://www.vertex42.com/ExcelTemplates/excel-project-management.html?utm_source=ms&amp;utm_medium=file&amp;utm_campaign=office&amp;utm_content=text" TargetMode="External" Id="rId3"/><Relationship Type="http://schemas.openxmlformats.org/officeDocument/2006/relationships/drawing" Target="/xl/drawings/drawing2.xml" Id="rId4"/></Relationships>
</file>

<file path=xl/worksheets/sheet1.xml><?xml version="1.0" encoding="utf-8"?>
<worksheet xmlns="http://schemas.openxmlformats.org/spreadsheetml/2006/main">
  <sheetPr codeName="Sheet1">
    <outlinePr summaryBelow="1" summaryRight="1"/>
    <pageSetUpPr fitToPage="1"/>
  </sheetPr>
  <dimension ref="A1:BP27"/>
  <sheetViews>
    <sheetView showGridLines="0" tabSelected="1" showRuler="0" topLeftCell="A15" zoomScaleNormal="100" zoomScalePageLayoutView="70" workbookViewId="0">
      <selection activeCell="BQ18" sqref="BQ18"/>
    </sheetView>
  </sheetViews>
  <sheetFormatPr baseColWidth="8" defaultColWidth="8.75" defaultRowHeight="30" customHeight="1"/>
  <cols>
    <col width="2.75" customWidth="1" style="11" min="1" max="1"/>
    <col hidden="1" width="22.75" customWidth="1" min="2" max="2"/>
    <col width="10.75" customWidth="1" min="3" max="3"/>
    <col width="10.75" customWidth="1" style="115" min="4" max="4"/>
    <col width="10.75" customWidth="1" style="116" min="5" max="5"/>
    <col width="2.75" customWidth="1" min="6" max="6"/>
    <col hidden="1" width="6" customWidth="1" min="7" max="7"/>
    <col width="2.75" customWidth="1" min="8" max="56"/>
    <col hidden="1" width="2.75" customWidth="1" min="57" max="64"/>
    <col hidden="1" width="3" customWidth="1" min="65" max="65"/>
    <col hidden="1" width="3.33203125" customWidth="1" min="66" max="66"/>
    <col hidden="1" width="3.5" customWidth="1" min="67" max="67"/>
  </cols>
  <sheetData>
    <row r="1" ht="90" customHeight="1">
      <c r="A1" s="117" t="n">
        <v>44829</v>
      </c>
      <c r="B1" s="27" t="inlineStr">
        <is>
          <t>Europa project</t>
        </is>
      </c>
      <c r="C1" s="14" t="n"/>
      <c r="D1" s="118" t="n"/>
      <c r="E1" s="119" t="n"/>
      <c r="G1" s="1" t="n"/>
      <c r="H1" s="105" t="inlineStr">
        <is>
          <t>Project start:</t>
        </is>
      </c>
      <c r="O1" s="16" t="n"/>
      <c r="P1" s="120" t="n">
        <v>44830</v>
      </c>
    </row>
    <row r="2" ht="30" customHeight="1">
      <c r="B2" s="26" t="inlineStr">
        <is>
          <t>VanArsdel, Ltd.</t>
        </is>
      </c>
      <c r="C2" s="15" t="n"/>
      <c r="D2" s="121" t="n"/>
      <c r="E2" s="122" t="n"/>
      <c r="H2" s="105" t="n"/>
      <c r="O2" s="16" t="n"/>
      <c r="P2" s="103" t="n"/>
      <c r="BP2" s="80" t="n"/>
    </row>
    <row r="3" ht="30" customFormat="1" customHeight="1" s="18">
      <c r="A3" s="11" t="n"/>
      <c r="B3" s="17" t="n"/>
      <c r="C3" s="19" t="n"/>
      <c r="D3" s="123" t="n"/>
      <c r="E3" s="124" t="n"/>
      <c r="H3" s="39" t="n"/>
      <c r="I3" s="40" t="n"/>
      <c r="J3" s="40" t="n"/>
      <c r="K3" s="40" t="n"/>
      <c r="L3" s="40" t="n"/>
      <c r="M3" s="40" t="n"/>
      <c r="N3" s="40" t="n"/>
      <c r="O3" s="40" t="n"/>
      <c r="P3" s="40" t="n"/>
      <c r="Q3" s="40" t="n"/>
      <c r="R3" s="40" t="n"/>
      <c r="S3" s="40" t="n"/>
      <c r="T3" s="40" t="n"/>
      <c r="U3" s="40" t="n"/>
      <c r="V3" s="40" t="n"/>
      <c r="W3" s="40" t="n"/>
      <c r="X3" s="40" t="n"/>
      <c r="Y3" s="40" t="n"/>
      <c r="Z3" s="40" t="n"/>
      <c r="AA3" s="40" t="n"/>
      <c r="AB3" s="40" t="n"/>
      <c r="AC3" s="40" t="n"/>
      <c r="AD3" s="40" t="n"/>
      <c r="AE3" s="41" t="n"/>
    </row>
    <row r="4" ht="30" customHeight="1" thickBot="1" thickTop="1">
      <c r="A4" s="107" t="n"/>
      <c r="B4" s="20" t="n"/>
      <c r="C4" s="102" t="inlineStr">
        <is>
          <t>Thesis Progress</t>
        </is>
      </c>
      <c r="D4" s="125" t="n"/>
      <c r="E4" s="126" t="n"/>
      <c r="F4" s="83" t="n"/>
      <c r="G4" s="83" t="n"/>
      <c r="H4" s="127">
        <f>IF(MONTH(H6)=9, YEAR(H6), "")</f>
        <v/>
      </c>
      <c r="I4" s="128" t="n"/>
      <c r="J4" s="128" t="n"/>
      <c r="K4" s="129" t="n"/>
      <c r="L4" s="127">
        <f>IF(MONTH(T6)=9, YEAR(T6), "")</f>
        <v/>
      </c>
      <c r="M4" s="128" t="n"/>
      <c r="N4" s="128" t="n"/>
      <c r="O4" s="128" t="n"/>
      <c r="P4" s="128" t="n"/>
      <c r="Q4" s="128" t="n"/>
      <c r="R4" s="128" t="n"/>
      <c r="S4" s="128" t="n"/>
      <c r="T4" s="128" t="n"/>
      <c r="U4" s="128" t="n"/>
      <c r="V4" s="128" t="n"/>
      <c r="W4" s="129" t="n"/>
      <c r="X4" s="127">
        <f>IF(MONTH(AF6)=9, YEAR(AF6), "")</f>
        <v/>
      </c>
      <c r="Y4" s="128" t="n"/>
      <c r="Z4" s="128" t="n"/>
      <c r="AA4" s="128" t="n"/>
      <c r="AB4" s="128" t="n"/>
      <c r="AC4" s="128" t="n"/>
      <c r="AD4" s="128" t="n"/>
      <c r="AE4" s="128" t="n"/>
      <c r="AF4" s="128" t="n"/>
      <c r="AG4" s="128" t="n"/>
      <c r="AH4" s="128" t="n"/>
      <c r="AI4" s="129" t="n"/>
      <c r="AJ4" s="127">
        <f>IF(MONTH(AR6)=9, YEAR(AR6), "")</f>
        <v/>
      </c>
      <c r="AK4" s="128" t="n"/>
      <c r="AL4" s="128" t="n"/>
      <c r="AM4" s="128" t="n"/>
      <c r="AN4" s="128" t="n"/>
      <c r="AO4" s="128" t="n"/>
      <c r="AP4" s="128" t="n"/>
      <c r="AQ4" s="128" t="n"/>
      <c r="AR4" s="128" t="n"/>
      <c r="AS4" s="128" t="n"/>
      <c r="AT4" s="128" t="n"/>
      <c r="AU4" s="129" t="n"/>
      <c r="AV4" s="127">
        <f>IF(MONTH(BD6)=9, YEAR(BD6), "")</f>
        <v/>
      </c>
      <c r="AW4" s="128" t="n"/>
      <c r="AX4" s="128" t="n"/>
      <c r="AY4" s="128" t="n"/>
      <c r="AZ4" s="128" t="n"/>
      <c r="BA4" s="128" t="n"/>
      <c r="BB4" s="128" t="n"/>
      <c r="BC4" s="128" t="n"/>
      <c r="BD4" s="128" t="n"/>
      <c r="BE4" s="128" t="n"/>
      <c r="BF4" s="128" t="n"/>
      <c r="BG4" s="129" t="n"/>
      <c r="BH4" s="130" t="n"/>
      <c r="BI4" s="131" t="n"/>
      <c r="BJ4" s="131" t="n"/>
      <c r="BK4" s="131" t="n"/>
      <c r="BL4" s="131" t="n"/>
      <c r="BM4" s="131" t="n"/>
      <c r="BN4" s="131" t="n"/>
      <c r="BO4" s="131" t="n"/>
    </row>
    <row r="5" ht="15" customHeight="1" thickBot="1">
      <c r="A5" s="107" t="n"/>
      <c r="B5" s="132" t="inlineStr">
        <is>
          <t>TASK</t>
        </is>
      </c>
      <c r="C5" s="133" t="inlineStr">
        <is>
          <t>PROGRESS</t>
        </is>
      </c>
      <c r="D5" s="134" t="inlineStr">
        <is>
          <t>START</t>
        </is>
      </c>
      <c r="E5" s="134" t="inlineStr">
        <is>
          <t>END</t>
        </is>
      </c>
      <c r="H5" s="135">
        <f>LEFT(TEXT(EDATE(Project_Start, COLUMNS($H5:H5)-1), "mmm"), 1)</f>
        <v/>
      </c>
      <c r="I5" s="135">
        <f>LEFT(TEXT(EDATE(Project_Start, COLUMNS($H5:I5)-1), "mmm"), 1)</f>
        <v/>
      </c>
      <c r="J5" s="135">
        <f>LEFT(TEXT(EDATE(Project_Start, COLUMNS($H5:J5)-1), "mmm"), 1)</f>
        <v/>
      </c>
      <c r="K5" s="135">
        <f>LEFT(TEXT(EDATE(Project_Start, COLUMNS($H5:K5)-1), "mmm"), 1)</f>
        <v/>
      </c>
      <c r="L5" s="135">
        <f>LEFT(TEXT(EDATE(Project_Start, COLUMNS($H5:L5)-1), "mmm"), 1)</f>
        <v/>
      </c>
      <c r="M5" s="135">
        <f>LEFT(TEXT(EDATE(Project_Start, COLUMNS($H5:M5)-1), "mmm"), 1)</f>
        <v/>
      </c>
      <c r="N5" s="135">
        <f>LEFT(TEXT(EDATE(Project_Start, COLUMNS($H5:N5)-1), "mmm"), 1)</f>
        <v/>
      </c>
      <c r="O5" s="135">
        <f>LEFT(TEXT(EDATE(Project_Start, COLUMNS($H5:O5)-1), "mmm"), 1)</f>
        <v/>
      </c>
      <c r="P5" s="135">
        <f>LEFT(TEXT(EDATE(Project_Start, COLUMNS($H5:P5)-1), "mmm"), 1)</f>
        <v/>
      </c>
      <c r="Q5" s="135">
        <f>LEFT(TEXT(EDATE(Project_Start, COLUMNS($H5:Q5)-1), "mmm"), 1)</f>
        <v/>
      </c>
      <c r="R5" s="135">
        <f>LEFT(TEXT(EDATE(Project_Start, COLUMNS($H5:R5)-1), "mmm"), 1)</f>
        <v/>
      </c>
      <c r="S5" s="135">
        <f>LEFT(TEXT(EDATE(Project_Start, COLUMNS($H5:S5)-1), "mmm"), 1)</f>
        <v/>
      </c>
      <c r="T5" s="135">
        <f>LEFT(TEXT(EDATE(Project_Start, COLUMNS($H5:T5)-1), "mmm"), 1)</f>
        <v/>
      </c>
      <c r="U5" s="135">
        <f>LEFT(TEXT(EDATE(Project_Start, COLUMNS($H5:U5)-1), "mmm"), 1)</f>
        <v/>
      </c>
      <c r="V5" s="135">
        <f>LEFT(TEXT(EDATE(Project_Start, COLUMNS($H5:V5)-1), "mmm"), 1)</f>
        <v/>
      </c>
      <c r="W5" s="135">
        <f>LEFT(TEXT(EDATE(Project_Start, COLUMNS($H5:W5)-1), "mmm"), 1)</f>
        <v/>
      </c>
      <c r="X5" s="135">
        <f>LEFT(TEXT(EDATE(Project_Start, COLUMNS($H5:X5)-1), "mmm"), 1)</f>
        <v/>
      </c>
      <c r="Y5" s="135">
        <f>LEFT(TEXT(EDATE(Project_Start, COLUMNS($H5:Y5)-1), "mmm"), 1)</f>
        <v/>
      </c>
      <c r="Z5" s="135">
        <f>LEFT(TEXT(EDATE(Project_Start, COLUMNS($H5:Z5)-1), "mmm"), 1)</f>
        <v/>
      </c>
      <c r="AA5" s="135">
        <f>LEFT(TEXT(EDATE(Project_Start, COLUMNS($H5:AA5)-1), "mmm"), 1)</f>
        <v/>
      </c>
      <c r="AB5" s="135">
        <f>LEFT(TEXT(EDATE(Project_Start, COLUMNS($H5:AB5)-1), "mmm"), 1)</f>
        <v/>
      </c>
      <c r="AC5" s="135">
        <f>LEFT(TEXT(EDATE(Project_Start, COLUMNS($H5:AC5)-1), "mmm"), 1)</f>
        <v/>
      </c>
      <c r="AD5" s="135">
        <f>LEFT(TEXT(EDATE(Project_Start, COLUMNS($H5:AD5)-1), "mmm"), 1)</f>
        <v/>
      </c>
      <c r="AE5" s="135">
        <f>LEFT(TEXT(EDATE(Project_Start, COLUMNS($H5:AE5)-1), "mmm"), 1)</f>
        <v/>
      </c>
      <c r="AF5" s="135">
        <f>LEFT(TEXT(EDATE(Project_Start, COLUMNS($H5:AF5)-1), "mmm"), 1)</f>
        <v/>
      </c>
      <c r="AG5" s="135">
        <f>LEFT(TEXT(EDATE(Project_Start, COLUMNS($H5:AG5)-1), "mmm"), 1)</f>
        <v/>
      </c>
      <c r="AH5" s="135">
        <f>LEFT(TEXT(EDATE(Project_Start, COLUMNS($H5:AH5)-1), "mmm"), 1)</f>
        <v/>
      </c>
      <c r="AI5" s="135">
        <f>LEFT(TEXT(EDATE(Project_Start, COLUMNS($H5:AI5)-1), "mmm"), 1)</f>
        <v/>
      </c>
      <c r="AJ5" s="135">
        <f>LEFT(TEXT(EDATE(Project_Start, COLUMNS($H5:AJ5)-1), "mmm"), 1)</f>
        <v/>
      </c>
      <c r="AK5" s="135">
        <f>LEFT(TEXT(EDATE(Project_Start, COLUMNS($H5:AK5)-1), "mmm"), 1)</f>
        <v/>
      </c>
      <c r="AL5" s="135">
        <f>LEFT(TEXT(EDATE(Project_Start, COLUMNS($H5:AL5)-1), "mmm"), 1)</f>
        <v/>
      </c>
      <c r="AM5" s="135">
        <f>LEFT(TEXT(EDATE(Project_Start, COLUMNS($H5:AM5)-1), "mmm"), 1)</f>
        <v/>
      </c>
      <c r="AN5" s="135">
        <f>LEFT(TEXT(EDATE(Project_Start, COLUMNS($H5:AN5)-1), "mmm"), 1)</f>
        <v/>
      </c>
      <c r="AO5" s="135">
        <f>LEFT(TEXT(EDATE(Project_Start, COLUMNS($H5:AO5)-1), "mmm"), 1)</f>
        <v/>
      </c>
      <c r="AP5" s="135">
        <f>LEFT(TEXT(EDATE(Project_Start, COLUMNS($H5:AP5)-1), "mmm"), 1)</f>
        <v/>
      </c>
      <c r="AQ5" s="135">
        <f>LEFT(TEXT(EDATE(Project_Start, COLUMNS($H5:AQ5)-1), "mmm"), 1)</f>
        <v/>
      </c>
      <c r="AR5" s="135">
        <f>LEFT(TEXT(EDATE(Project_Start, COLUMNS($H5:AR5)-1), "mmm"), 1)</f>
        <v/>
      </c>
      <c r="AS5" s="135">
        <f>LEFT(TEXT(EDATE(Project_Start, COLUMNS($H5:AS5)-1), "mmm"), 1)</f>
        <v/>
      </c>
      <c r="AT5" s="135">
        <f>LEFT(TEXT(EDATE(Project_Start, COLUMNS($H5:AT5)-1), "mmm"), 1)</f>
        <v/>
      </c>
      <c r="AU5" s="135">
        <f>LEFT(TEXT(EDATE(Project_Start, COLUMNS($H5:AU5)-1), "mmm"), 1)</f>
        <v/>
      </c>
      <c r="AV5" s="135">
        <f>LEFT(TEXT(EDATE(Project_Start, COLUMNS($H5:AV5)-1), "mmm"), 1)</f>
        <v/>
      </c>
      <c r="AW5" s="135">
        <f>LEFT(TEXT(EDATE(Project_Start, COLUMNS($H5:AW5)-1), "mmm"), 1)</f>
        <v/>
      </c>
      <c r="AX5" s="135">
        <f>LEFT(TEXT(EDATE(Project_Start, COLUMNS($H5:AX5)-1), "mmm"), 1)</f>
        <v/>
      </c>
      <c r="AY5" s="135">
        <f>LEFT(TEXT(EDATE(Project_Start, COLUMNS($H5:AY5)-1), "mmm"), 1)</f>
        <v/>
      </c>
      <c r="AZ5" s="135">
        <f>LEFT(TEXT(EDATE(Project_Start, COLUMNS($H5:AZ5)-1), "mmm"), 1)</f>
        <v/>
      </c>
      <c r="BA5" s="135">
        <f>LEFT(TEXT(EDATE(Project_Start, COLUMNS($H5:BA5)-1), "mmm"), 1)</f>
        <v/>
      </c>
      <c r="BB5" s="135">
        <f>LEFT(TEXT(EDATE(Project_Start, COLUMNS($H5:BB5)-1), "mmm"), 1)</f>
        <v/>
      </c>
      <c r="BC5" s="135">
        <f>LEFT(TEXT(EDATE(Project_Start, COLUMNS($H5:BC5)-1), "mmm"), 1)</f>
        <v/>
      </c>
      <c r="BD5" s="135">
        <f>LEFT(TEXT(EDATE(Project_Start, COLUMNS($H5:BD5)-1), "mmm"), 1)</f>
        <v/>
      </c>
      <c r="BE5" s="135" t="n"/>
      <c r="BF5" s="135" t="n"/>
      <c r="BG5" s="136" t="n"/>
      <c r="BH5" s="137" t="n"/>
      <c r="BI5" s="135" t="n"/>
      <c r="BJ5" s="135" t="n"/>
      <c r="BK5" s="135" t="n"/>
      <c r="BL5" s="135" t="n"/>
      <c r="BM5" s="135" t="n"/>
      <c r="BN5" s="135" t="n"/>
      <c r="BO5" s="135" t="n"/>
    </row>
    <row r="6" hidden="1" ht="15" customHeight="1" thickBot="1">
      <c r="B6" s="138" t="n"/>
      <c r="C6" s="139" t="n"/>
      <c r="D6" s="138" t="n"/>
      <c r="E6" s="138" t="n"/>
      <c r="H6" s="140">
        <f>EDATE(Project_Start, COLUMNS($H6:H6)-1)</f>
        <v/>
      </c>
      <c r="I6" s="140">
        <f>EDATE(Project_Start, COLUMNS($H6:I6)-1)</f>
        <v/>
      </c>
      <c r="J6" s="140">
        <f>EDATE(Project_Start, COLUMNS($H6:J6)-1)</f>
        <v/>
      </c>
      <c r="K6" s="140">
        <f>EDATE(Project_Start, COLUMNS($H6:K6)-1)</f>
        <v/>
      </c>
      <c r="L6" s="140">
        <f>EDATE(Project_Start, COLUMNS($H6:L6)-1)</f>
        <v/>
      </c>
      <c r="M6" s="140">
        <f>EDATE(Project_Start, COLUMNS($H6:M6)-1)</f>
        <v/>
      </c>
      <c r="N6" s="140">
        <f>EDATE(Project_Start, COLUMNS($H6:N6)-1)</f>
        <v/>
      </c>
      <c r="O6" s="140">
        <f>EDATE(Project_Start, COLUMNS($H6:O6)-1)</f>
        <v/>
      </c>
      <c r="P6" s="140">
        <f>EDATE(Project_Start, COLUMNS($H6:P6)-1)</f>
        <v/>
      </c>
      <c r="Q6" s="140">
        <f>EDATE(Project_Start, COLUMNS($H6:Q6)-1)</f>
        <v/>
      </c>
      <c r="R6" s="140">
        <f>EDATE(Project_Start, COLUMNS($H6:R6)-1)</f>
        <v/>
      </c>
      <c r="S6" s="140">
        <f>EDATE(Project_Start, COLUMNS($H6:S6)-1)</f>
        <v/>
      </c>
      <c r="T6" s="140">
        <f>EDATE(Project_Start, COLUMNS($H6:T6)-1)</f>
        <v/>
      </c>
      <c r="U6" s="140">
        <f>EDATE(Project_Start, COLUMNS($H6:U6)-1)</f>
        <v/>
      </c>
      <c r="V6" s="140">
        <f>EDATE(Project_Start, COLUMNS($H6:V6)-1)</f>
        <v/>
      </c>
      <c r="W6" s="140">
        <f>EDATE(Project_Start, COLUMNS($H6:W6)-1)</f>
        <v/>
      </c>
      <c r="X6" s="140">
        <f>EDATE(Project_Start, COLUMNS($H6:X6)-1)</f>
        <v/>
      </c>
      <c r="Y6" s="140">
        <f>EDATE(Project_Start, COLUMNS($H6:Y6)-1)</f>
        <v/>
      </c>
      <c r="Z6" s="140">
        <f>EDATE(Project_Start, COLUMNS($H6:Z6)-1)</f>
        <v/>
      </c>
      <c r="AA6" s="140">
        <f>EDATE(Project_Start, COLUMNS($H6:AA6)-1)</f>
        <v/>
      </c>
      <c r="AB6" s="140">
        <f>EDATE(Project_Start, COLUMNS($H6:AB6)-1)</f>
        <v/>
      </c>
      <c r="AC6" s="140">
        <f>EDATE(Project_Start, COLUMNS($H6:AC6)-1)</f>
        <v/>
      </c>
      <c r="AD6" s="140">
        <f>EDATE(Project_Start, COLUMNS($H6:AD6)-1)</f>
        <v/>
      </c>
      <c r="AE6" s="140">
        <f>EDATE(Project_Start, COLUMNS($H6:AE6)-1)</f>
        <v/>
      </c>
      <c r="AF6" s="140">
        <f>EDATE(Project_Start, COLUMNS($H6:AF6)-1)</f>
        <v/>
      </c>
      <c r="AG6" s="140">
        <f>EDATE(Project_Start, COLUMNS($H6:AG6)-1)</f>
        <v/>
      </c>
      <c r="AH6" s="140">
        <f>EDATE(Project_Start, COLUMNS($H6:AH6)-1)</f>
        <v/>
      </c>
      <c r="AI6" s="140">
        <f>EDATE(Project_Start, COLUMNS($H6:AI6)-1)</f>
        <v/>
      </c>
      <c r="AJ6" s="140">
        <f>EDATE(Project_Start, COLUMNS($H6:AJ6)-1)</f>
        <v/>
      </c>
      <c r="AK6" s="140">
        <f>EDATE(Project_Start, COLUMNS($H6:AK6)-1)</f>
        <v/>
      </c>
      <c r="AL6" s="140">
        <f>EDATE(Project_Start, COLUMNS($H6:AL6)-1)</f>
        <v/>
      </c>
      <c r="AM6" s="140">
        <f>EDATE(Project_Start, COLUMNS($H6:AM6)-1)</f>
        <v/>
      </c>
      <c r="AN6" s="140">
        <f>EDATE(Project_Start, COLUMNS($H6:AN6)-1)</f>
        <v/>
      </c>
      <c r="AO6" s="140">
        <f>EDATE(Project_Start, COLUMNS($H6:AO6)-1)</f>
        <v/>
      </c>
      <c r="AP6" s="140">
        <f>EDATE(Project_Start, COLUMNS($H6:AP6)-1)</f>
        <v/>
      </c>
      <c r="AQ6" s="140">
        <f>EDATE(Project_Start, COLUMNS($H6:AQ6)-1)</f>
        <v/>
      </c>
      <c r="AR6" s="140">
        <f>EDATE(Project_Start, COLUMNS($H6:AR6)-1)</f>
        <v/>
      </c>
      <c r="AS6" s="140">
        <f>EDATE(Project_Start, COLUMNS($H6:AS6)-1)</f>
        <v/>
      </c>
      <c r="AT6" s="140">
        <f>EDATE(Project_Start, COLUMNS($H6:AT6)-1)</f>
        <v/>
      </c>
      <c r="AU6" s="140">
        <f>EDATE(Project_Start, COLUMNS($H6:AU6)-1)</f>
        <v/>
      </c>
      <c r="AV6" s="140">
        <f>EDATE(Project_Start, COLUMNS($H6:AV6)-1)</f>
        <v/>
      </c>
      <c r="AW6" s="140">
        <f>EDATE(Project_Start, COLUMNS($H6:AW6)-1)</f>
        <v/>
      </c>
      <c r="AX6" s="140">
        <f>EDATE(Project_Start, COLUMNS($H6:AX6)-1)</f>
        <v/>
      </c>
      <c r="AY6" s="140">
        <f>EDATE(Project_Start, COLUMNS($H6:AY6)-1)</f>
        <v/>
      </c>
      <c r="AZ6" s="140">
        <f>EDATE(Project_Start, COLUMNS($H6:AZ6)-1)</f>
        <v/>
      </c>
      <c r="BA6" s="140">
        <f>EDATE(Project_Start, COLUMNS($H6:BA6)-1)</f>
        <v/>
      </c>
      <c r="BB6" s="140">
        <f>EDATE(Project_Start, COLUMNS($H6:BB6)-1)</f>
        <v/>
      </c>
      <c r="BC6" s="140">
        <f>EDATE(Project_Start, COLUMNS($H6:BC6)-1)</f>
        <v/>
      </c>
      <c r="BD6" s="140">
        <f>EDATE(Project_Start, COLUMNS($H6:BD6)-1)</f>
        <v/>
      </c>
      <c r="BE6" s="140" t="n"/>
      <c r="BF6" s="140" t="n"/>
      <c r="BG6" s="141" t="n"/>
      <c r="BH6" s="140" t="n"/>
      <c r="BI6" s="140" t="n"/>
      <c r="BJ6" s="140" t="n"/>
      <c r="BK6" s="140" t="n"/>
      <c r="BL6" s="140" t="n"/>
      <c r="BM6" s="140" t="n"/>
      <c r="BN6" s="140" t="n"/>
      <c r="BO6" s="140" t="n"/>
    </row>
    <row r="7" hidden="1" ht="30" customHeight="1">
      <c r="A7" s="11" t="inlineStr">
        <is>
          <t>Do not delete this hidden row; it preserves the formula used to highlight today's date in the project schedule.</t>
        </is>
      </c>
      <c r="B7" s="21" t="n"/>
      <c r="C7" s="86" t="n"/>
      <c r="D7" s="142" t="n"/>
      <c r="E7" s="142" t="n"/>
      <c r="G7">
        <f>IF(OR(ISBLANK(task_start),ISBLANK(task_end)),"",task_end-task_start+1)</f>
        <v/>
      </c>
      <c r="H7" s="65" t="n"/>
      <c r="I7" s="65" t="n"/>
      <c r="J7" s="65" t="n"/>
      <c r="K7" s="65" t="n"/>
      <c r="L7" s="65" t="n"/>
      <c r="M7" s="65" t="n"/>
      <c r="N7" s="65" t="n"/>
      <c r="O7" s="65" t="n"/>
      <c r="P7" s="65" t="n"/>
      <c r="Q7" s="65" t="n"/>
      <c r="R7" s="65" t="n"/>
      <c r="S7" s="65" t="n"/>
      <c r="T7" s="65" t="n"/>
      <c r="U7" s="65" t="n"/>
      <c r="V7" s="65" t="n"/>
      <c r="W7" s="65" t="n"/>
      <c r="X7" s="65" t="n"/>
      <c r="Y7" s="65" t="n"/>
      <c r="Z7" s="65" t="n"/>
      <c r="AA7" s="65" t="n"/>
      <c r="AB7" s="65" t="n"/>
      <c r="AC7" s="65" t="n"/>
      <c r="AD7" s="65" t="n"/>
      <c r="AE7" s="65" t="n"/>
      <c r="AF7" s="65" t="n"/>
      <c r="AG7" s="65" t="n"/>
      <c r="AH7" s="65" t="n"/>
      <c r="AI7" s="65" t="n"/>
      <c r="AJ7" s="65" t="n"/>
      <c r="AK7" s="65" t="n"/>
      <c r="AL7" s="65" t="n"/>
      <c r="AM7" s="65" t="n"/>
      <c r="AN7" s="65" t="n"/>
      <c r="AO7" s="65" t="n"/>
      <c r="AP7" s="64" t="n"/>
      <c r="AQ7" s="58" t="n"/>
      <c r="AR7" s="58" t="n"/>
      <c r="AS7" s="58" t="n"/>
      <c r="AT7" s="58" t="n"/>
      <c r="AU7" s="58" t="n"/>
      <c r="AV7" s="58" t="n"/>
      <c r="AW7" s="58" t="n"/>
      <c r="AX7" s="58" t="n"/>
      <c r="AY7" s="58" t="n"/>
      <c r="AZ7" s="58" t="n"/>
      <c r="BA7" s="58" t="n"/>
      <c r="BB7" s="58" t="n"/>
      <c r="BC7" s="58" t="n"/>
      <c r="BD7" s="58" t="n"/>
      <c r="BE7" s="58" t="n"/>
      <c r="BF7" s="58" t="n"/>
      <c r="BG7" s="88" t="n"/>
      <c r="BH7" s="58" t="n"/>
      <c r="BI7" s="58" t="n"/>
      <c r="BJ7" s="58" t="n"/>
      <c r="BK7" s="58" t="n"/>
    </row>
    <row r="8" ht="30" customFormat="1" customHeight="1" s="58" thickBot="1">
      <c r="A8" s="107" t="n"/>
      <c r="B8" s="43" t="inlineStr">
        <is>
          <t>Phase 1 - Preliminary Research</t>
        </is>
      </c>
      <c r="C8" s="89" t="inlineStr">
        <is>
          <t>Phase 1: Preliminary Research</t>
        </is>
      </c>
      <c r="D8" s="43" t="n"/>
      <c r="E8" s="43" t="n"/>
      <c r="F8" s="13" t="n"/>
      <c r="G8" s="3">
        <f>IF(OR(ISBLANK(task_start),ISBLANK(task_end)),"",task_end-task_start+1)</f>
        <v/>
      </c>
      <c r="H8" s="63" t="n"/>
      <c r="I8" s="62" t="n"/>
      <c r="J8" s="62" t="n"/>
      <c r="K8" s="62" t="n"/>
      <c r="L8" s="62" t="n"/>
      <c r="M8" s="62" t="n"/>
      <c r="N8" s="62" t="n"/>
      <c r="O8" s="62" t="n"/>
      <c r="P8" s="62" t="n"/>
      <c r="Q8" s="62" t="n"/>
      <c r="R8" s="62" t="n"/>
      <c r="S8" s="62" t="n"/>
      <c r="T8" s="62" t="n"/>
      <c r="U8" s="62" t="n"/>
      <c r="V8" s="62" t="n"/>
      <c r="W8" s="62" t="n"/>
      <c r="X8" s="62" t="n"/>
      <c r="Y8" s="62" t="n"/>
      <c r="Z8" s="62" t="n"/>
      <c r="AA8" s="62" t="n"/>
      <c r="AB8" s="62" t="n"/>
      <c r="AC8" s="62" t="n"/>
      <c r="AD8" s="62" t="n"/>
      <c r="AE8" s="62" t="n"/>
      <c r="AF8" s="62" t="n"/>
      <c r="AG8" s="62" t="n"/>
      <c r="AH8" s="62" t="n"/>
      <c r="AI8" s="62" t="n"/>
      <c r="AJ8" s="62" t="n"/>
      <c r="AK8" s="62" t="n"/>
      <c r="AL8" s="62" t="n"/>
      <c r="AM8" s="62" t="n"/>
      <c r="AN8" s="62" t="n"/>
      <c r="AO8" s="62" t="n"/>
      <c r="AP8" s="62" t="n"/>
      <c r="BG8" s="88" t="n"/>
    </row>
    <row r="9" ht="30" customFormat="1" customHeight="1" s="58" thickBot="1">
      <c r="A9" s="107" t="n"/>
      <c r="B9" s="44" t="inlineStr">
        <is>
          <t>Modules</t>
        </is>
      </c>
      <c r="C9" s="90" t="n">
        <v>1</v>
      </c>
      <c r="D9" s="143" t="n">
        <v>44830</v>
      </c>
      <c r="E9" s="143" t="n">
        <v>45174</v>
      </c>
      <c r="F9" s="13" t="n"/>
      <c r="G9" s="3">
        <f>IF(OR(ISBLANK(task_start),ISBLANK(task_end)),"",task_end-task_start+1)</f>
        <v/>
      </c>
      <c r="H9" s="72" t="inlineStr">
        <is>
          <t>CDT taught year - Modules</t>
        </is>
      </c>
      <c r="I9" s="72" t="n"/>
      <c r="J9" s="72" t="n"/>
      <c r="K9" s="72" t="n"/>
      <c r="L9" s="72" t="n"/>
      <c r="M9" s="72" t="n"/>
      <c r="N9" s="72" t="n"/>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66" t="n"/>
      <c r="BF9" s="38" t="n"/>
      <c r="BG9" s="92" t="n"/>
      <c r="BH9" s="66" t="n"/>
      <c r="BI9" s="38" t="n"/>
      <c r="BJ9" s="38" t="n"/>
      <c r="BK9" s="38" t="n"/>
      <c r="BL9" s="38" t="n"/>
      <c r="BM9" s="36" t="n"/>
      <c r="BN9" s="36" t="n"/>
      <c r="BO9" s="36" t="n"/>
    </row>
    <row r="10" ht="30" customFormat="1" customHeight="1" s="58" thickBot="1">
      <c r="A10" s="107" t="n"/>
      <c r="B10" s="44" t="inlineStr">
        <is>
          <t>Literature</t>
        </is>
      </c>
      <c r="C10" s="90" t="n">
        <v>1</v>
      </c>
      <c r="D10" s="143" t="n">
        <v>44854</v>
      </c>
      <c r="E10" s="143" t="n">
        <v>44967</v>
      </c>
      <c r="F10" s="13" t="n"/>
      <c r="G10" s="3" t="n"/>
      <c r="H10" s="72" t="n"/>
      <c r="I10" s="72" t="inlineStr">
        <is>
          <t>Lit Review</t>
        </is>
      </c>
      <c r="J10" s="72" t="n"/>
      <c r="K10" s="72" t="n"/>
      <c r="L10" s="72" t="n"/>
      <c r="M10" s="72" t="n"/>
      <c r="N10" s="72" t="n"/>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66" t="n"/>
      <c r="BF10" s="38" t="n"/>
      <c r="BG10" s="92" t="n"/>
      <c r="BH10" s="66" t="n"/>
      <c r="BI10" s="38" t="n"/>
      <c r="BJ10" s="38" t="n"/>
      <c r="BK10" s="38" t="n"/>
      <c r="BL10" s="38" t="n"/>
      <c r="BM10" s="36" t="n"/>
      <c r="BN10" s="36" t="n"/>
      <c r="BO10" s="36" t="n"/>
    </row>
    <row r="11" ht="30" customFormat="1" customHeight="1" s="58" thickBot="1">
      <c r="A11" s="107" t="n"/>
      <c r="B11" s="44" t="inlineStr">
        <is>
          <t>Systematic review</t>
        </is>
      </c>
      <c r="C11" s="90" t="n">
        <v>1</v>
      </c>
      <c r="D11" s="143" t="n">
        <v>44876</v>
      </c>
      <c r="E11" s="143" t="n">
        <v>45058</v>
      </c>
      <c r="F11" s="13" t="n"/>
      <c r="G11" s="3">
        <f>IF(OR(ISBLANK(task_start),ISBLANK(task_end)),"",task_end-task_start+1)</f>
        <v/>
      </c>
      <c r="H11" s="72" t="n"/>
      <c r="I11" s="72" t="n"/>
      <c r="J11" s="72" t="inlineStr">
        <is>
          <t>Sytematic Review</t>
        </is>
      </c>
      <c r="K11" s="72" t="n"/>
      <c r="L11" s="72" t="n"/>
      <c r="M11" s="72" t="n"/>
      <c r="N11" s="72" t="n"/>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67" t="n"/>
      <c r="BF11" s="36" t="n"/>
      <c r="BG11" s="93" t="n"/>
      <c r="BH11" s="67" t="n"/>
      <c r="BI11" s="36" t="n"/>
      <c r="BJ11" s="36" t="n"/>
      <c r="BK11" s="36" t="n"/>
      <c r="BL11" s="36" t="n"/>
      <c r="BM11" s="36" t="n"/>
      <c r="BN11" s="36" t="n"/>
      <c r="BO11" s="36" t="n"/>
    </row>
    <row r="12" ht="30" customFormat="1" customHeight="1" s="58" thickBot="1">
      <c r="A12" s="11" t="n"/>
      <c r="B12" s="44" t="inlineStr">
        <is>
          <t>Final project</t>
        </is>
      </c>
      <c r="C12" s="90" t="n">
        <v>1</v>
      </c>
      <c r="D12" s="143" t="n">
        <v>44927</v>
      </c>
      <c r="E12" s="143" t="n">
        <v>45108</v>
      </c>
      <c r="F12" s="13" t="n"/>
      <c r="G12" s="3">
        <f>IF(OR(ISBLANK(task_start),ISBLANK(task_end)),"",task_end-task_start+1)</f>
        <v/>
      </c>
      <c r="H12" s="72" t="n"/>
      <c r="I12" s="72" t="n"/>
      <c r="J12" s="72" t="n"/>
      <c r="K12" s="72" t="n"/>
      <c r="L12" s="72" t="inlineStr">
        <is>
          <t>Final project</t>
        </is>
      </c>
      <c r="M12" s="72" t="n"/>
      <c r="N12" s="72" t="n"/>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67" t="n"/>
      <c r="BF12" s="36" t="n"/>
      <c r="BG12" s="93" t="n"/>
      <c r="BH12" s="67" t="n"/>
      <c r="BI12" s="36" t="n"/>
      <c r="BJ12" s="36" t="n"/>
      <c r="BK12" s="36" t="n"/>
      <c r="BL12" s="36" t="n"/>
      <c r="BM12" s="36" t="n"/>
      <c r="BN12" s="36" t="n"/>
      <c r="BO12" s="36" t="n"/>
    </row>
    <row r="13" ht="30" customFormat="1" customHeight="1" s="58" thickBot="1">
      <c r="A13" s="11" t="n"/>
      <c r="B13" s="44" t="inlineStr">
        <is>
          <t>Research design</t>
        </is>
      </c>
      <c r="C13" s="90" t="n">
        <v>1</v>
      </c>
      <c r="D13" s="143" t="n">
        <v>45170</v>
      </c>
      <c r="E13" s="143" t="n">
        <v>45293</v>
      </c>
      <c r="F13" s="13" t="n"/>
      <c r="G13" s="70" t="n"/>
      <c r="H13" s="72" t="n"/>
      <c r="I13" s="72" t="n"/>
      <c r="J13" s="72" t="n"/>
      <c r="K13" s="72" t="n"/>
      <c r="L13" s="72" t="n"/>
      <c r="M13" s="72" t="n"/>
      <c r="N13" s="72" t="n"/>
      <c r="O13" s="72" t="n"/>
      <c r="P13" s="72" t="n"/>
      <c r="Q13" s="72" t="n"/>
      <c r="R13" s="72" t="n"/>
      <c r="S13" s="72" t="n"/>
      <c r="T13" s="73" t="inlineStr">
        <is>
          <t>R. Design</t>
        </is>
      </c>
      <c r="U13" s="74" t="n"/>
      <c r="V13" s="74" t="n"/>
      <c r="W13" s="75"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67" t="n"/>
      <c r="BF13" s="36" t="n"/>
      <c r="BG13" s="93" t="n"/>
      <c r="BH13" s="67" t="n"/>
      <c r="BI13" s="36" t="n"/>
      <c r="BJ13" s="36" t="n"/>
      <c r="BK13" s="36" t="n"/>
      <c r="BL13" s="36" t="n"/>
      <c r="BM13" s="36" t="n"/>
      <c r="BN13" s="36" t="n"/>
      <c r="BO13" s="36" t="n"/>
    </row>
    <row r="14" ht="30" customFormat="1" customHeight="1" s="58" thickBot="1">
      <c r="A14" s="11" t="n"/>
      <c r="B14" s="44" t="inlineStr">
        <is>
          <t>Upgrade Report</t>
        </is>
      </c>
      <c r="C14" s="90" t="n">
        <v>1</v>
      </c>
      <c r="D14" s="143" t="n">
        <v>45298</v>
      </c>
      <c r="E14" s="143" t="n">
        <v>45962</v>
      </c>
      <c r="F14" s="13" t="n"/>
      <c r="G14" s="70">
        <f>IF(OR(ISBLANK(task_start),ISBLANK(task_end)),"",task_end-task_start+1)</f>
        <v/>
      </c>
      <c r="H14" s="79" t="n"/>
      <c r="I14" s="79" t="n"/>
      <c r="J14" s="79" t="n"/>
      <c r="K14" s="79" t="n"/>
      <c r="L14" s="79" t="n"/>
      <c r="M14" s="79" t="n"/>
      <c r="N14" s="79" t="n"/>
      <c r="O14" s="79" t="n"/>
      <c r="P14" s="79" t="n"/>
      <c r="Q14" s="79" t="n"/>
      <c r="R14" s="79" t="n"/>
      <c r="S14" s="79" t="n"/>
      <c r="T14" s="79" t="n"/>
      <c r="U14" s="79" t="n"/>
      <c r="V14" s="79" t="n"/>
      <c r="W14" s="79" t="n"/>
      <c r="X14" s="79" t="inlineStr">
        <is>
          <t>This report</t>
        </is>
      </c>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67" t="n"/>
      <c r="BF14" s="36" t="n"/>
      <c r="BG14" s="93" t="n"/>
      <c r="BH14" s="67" t="n"/>
      <c r="BI14" s="36" t="n"/>
      <c r="BJ14" s="36" t="n"/>
      <c r="BK14" s="36" t="n"/>
      <c r="BL14" s="36" t="n"/>
      <c r="BM14" s="36" t="n"/>
      <c r="BN14" s="36" t="n"/>
      <c r="BO14" s="36" t="n"/>
    </row>
    <row r="15" ht="30" customFormat="1" customHeight="1" s="58" thickBot="1">
      <c r="A15" s="107" t="n"/>
      <c r="B15" s="61" t="inlineStr">
        <is>
          <t>Phase 2 - Chapters</t>
        </is>
      </c>
      <c r="C15" s="94" t="inlineStr">
        <is>
          <t>Phase 2: Chapters</t>
        </is>
      </c>
      <c r="D15" s="144" t="n"/>
      <c r="E15" s="144" t="n"/>
      <c r="F15" s="13" t="n"/>
      <c r="G15" s="13">
        <f>IF(OR(ISBLANK(task_start),ISBLANK(task_end)),"",task_end-task_start+1)</f>
        <v/>
      </c>
      <c r="BD15" s="68" t="n"/>
      <c r="BG15" s="88" t="n"/>
    </row>
    <row r="16" ht="30" customFormat="1" customHeight="1" s="58" thickBot="1">
      <c r="A16" s="107" t="n"/>
      <c r="B16" s="22" t="inlineStr">
        <is>
          <t>Study 1: Evidence in Cyber Operations - A Thematic Review</t>
        </is>
      </c>
      <c r="C16" s="95" t="n">
        <v>1</v>
      </c>
      <c r="D16" s="143" t="n">
        <v>45383</v>
      </c>
      <c r="E16" s="143" t="n">
        <v>45930</v>
      </c>
      <c r="F16" s="13" t="n"/>
      <c r="G16" s="13" t="n"/>
      <c r="H16" s="72" t="n"/>
      <c r="I16" s="114" t="n"/>
      <c r="J16" s="114" t="n"/>
      <c r="K16" s="114" t="n"/>
      <c r="L16" s="114" t="n"/>
      <c r="M16" s="114" t="n"/>
      <c r="N16" s="114" t="n"/>
      <c r="O16" s="114" t="n"/>
      <c r="P16" s="114" t="n"/>
      <c r="Q16" s="114" t="n"/>
      <c r="R16" s="114" t="n"/>
      <c r="S16" s="114" t="n"/>
      <c r="T16" s="114" t="n"/>
      <c r="U16" s="114" t="n"/>
      <c r="V16" s="114" t="n"/>
      <c r="W16" s="114" t="n"/>
      <c r="X16" s="114" t="n"/>
      <c r="Y16" s="114" t="n"/>
      <c r="Z16" s="78" t="n"/>
      <c r="AA16" s="114" t="n"/>
      <c r="AB16" s="114" t="n"/>
      <c r="AD16" s="114" t="n"/>
      <c r="AE16" s="114" t="n"/>
      <c r="AF16" s="114" t="n"/>
      <c r="AG16" s="114" t="n"/>
      <c r="AH16" s="114" t="n"/>
      <c r="AI16" s="114" t="n"/>
      <c r="AJ16" s="114" t="inlineStr">
        <is>
          <t>Chapter 1 -Introduction</t>
        </is>
      </c>
      <c r="AK16" s="114" t="n"/>
      <c r="AL16" s="114" t="n"/>
      <c r="AM16" s="114" t="n"/>
      <c r="AN16" s="114" t="n"/>
      <c r="AO16" s="114" t="n"/>
      <c r="AP16" s="114" t="n"/>
      <c r="AQ16" s="114" t="n"/>
      <c r="AR16" s="114" t="n"/>
      <c r="AS16" s="114" t="n"/>
      <c r="AT16" s="114" t="n"/>
      <c r="AU16" s="114" t="n"/>
      <c r="AV16" s="114" t="n"/>
      <c r="AW16" s="114" t="n"/>
      <c r="AX16" s="114" t="n"/>
      <c r="AY16" s="114" t="n"/>
      <c r="AZ16" s="114" t="n"/>
      <c r="BA16" s="114" t="n"/>
      <c r="BB16" s="114" t="n"/>
      <c r="BC16" s="114" t="n"/>
      <c r="BD16" s="114" t="n"/>
      <c r="BG16" s="88" t="n"/>
    </row>
    <row r="17" ht="30" customFormat="1" customHeight="1" s="58" thickBot="1">
      <c r="A17" s="107" t="n"/>
      <c r="B17" s="22" t="inlineStr">
        <is>
          <t>Study 1: Evidence in Cyber Operations - Manuscript Revision</t>
        </is>
      </c>
      <c r="C17" s="95" t="n">
        <v>1</v>
      </c>
      <c r="D17" s="143" t="n">
        <v>45383</v>
      </c>
      <c r="E17" s="143" t="n">
        <v>46021</v>
      </c>
      <c r="F17" s="13" t="n"/>
      <c r="G17" s="13" t="n"/>
      <c r="H17" s="72" t="n"/>
      <c r="I17" s="114" t="n"/>
      <c r="J17" s="114" t="n"/>
      <c r="K17" s="114" t="n"/>
      <c r="L17" s="114" t="n"/>
      <c r="M17" s="114" t="n"/>
      <c r="N17" s="114" t="n"/>
      <c r="O17" s="114" t="n"/>
      <c r="P17" s="114" t="n"/>
      <c r="Q17" s="114" t="n"/>
      <c r="R17" s="114" t="n"/>
      <c r="S17" s="114" t="n"/>
      <c r="T17" s="114" t="n"/>
      <c r="U17" s="114" t="n"/>
      <c r="V17" s="114" t="n"/>
      <c r="W17" s="114" t="n"/>
      <c r="X17" s="114" t="n"/>
      <c r="Y17" s="114" t="n"/>
      <c r="Z17" s="78" t="n"/>
      <c r="AA17" s="114" t="n"/>
      <c r="AB17" s="114" t="n"/>
      <c r="AC17" s="114" t="n"/>
      <c r="AD17" s="114" t="n"/>
      <c r="AE17" s="114" t="n"/>
      <c r="AF17" s="114" t="n"/>
      <c r="AG17" s="114" t="n"/>
      <c r="AH17" s="114" t="n"/>
      <c r="AI17" s="114" t="n"/>
      <c r="AJ17" s="114" t="inlineStr">
        <is>
          <t>Chapter 2 - Systematic Review</t>
        </is>
      </c>
      <c r="AK17" s="114" t="n"/>
      <c r="AL17" s="114" t="n"/>
      <c r="AM17" s="114" t="n"/>
      <c r="AN17" s="114" t="n"/>
      <c r="AO17" s="114" t="n"/>
      <c r="AP17" s="114" t="n"/>
      <c r="AQ17" s="114" t="n"/>
      <c r="AR17" s="114" t="n"/>
      <c r="AS17" s="114" t="n"/>
      <c r="AT17" s="114" t="n"/>
      <c r="AU17" s="114" t="n"/>
      <c r="AV17" s="114" t="n"/>
      <c r="AW17" s="114" t="n"/>
      <c r="AX17" s="114" t="n"/>
      <c r="AY17" s="114" t="n"/>
      <c r="AZ17" s="114" t="n"/>
      <c r="BA17" s="114" t="n"/>
      <c r="BB17" s="114" t="n"/>
      <c r="BC17" s="114" t="n"/>
      <c r="BD17" s="114" t="n"/>
      <c r="BG17" s="88" t="n"/>
    </row>
    <row r="18" ht="30" customFormat="1" customHeight="1" s="58" thickBot="1">
      <c r="A18" s="11" t="n"/>
      <c r="B18" s="22" t="inlineStr">
        <is>
          <t>Study 2: Applications of Zero-Knowledge-Proofs to Social Science</t>
        </is>
      </c>
      <c r="C18" s="95" t="n">
        <v>0.9</v>
      </c>
      <c r="D18" s="143" t="n">
        <v>45931</v>
      </c>
      <c r="E18" s="143" t="n">
        <v>46081</v>
      </c>
      <c r="F18" s="13" t="n"/>
      <c r="G18" s="71">
        <f>IF(OR(ISBLANK(task_start),ISBLANK(task_end)),"",task_end-task_start+1)</f>
        <v/>
      </c>
      <c r="H18" s="72" t="n"/>
      <c r="I18" s="72" t="n"/>
      <c r="J18" s="72" t="n"/>
      <c r="K18" s="72" t="n"/>
      <c r="L18" s="72" t="n"/>
      <c r="M18" s="72" t="n"/>
      <c r="N18" s="72" t="n"/>
      <c r="O18" s="72" t="n"/>
      <c r="P18" s="72" t="n"/>
      <c r="Q18" s="72" t="n"/>
      <c r="R18" s="72" t="n"/>
      <c r="S18" s="72" t="n"/>
      <c r="T18" s="77" t="n"/>
      <c r="U18" s="77"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inlineStr">
        <is>
          <t>Chp3: Methods and Concepts</t>
        </is>
      </c>
      <c r="AT18" s="72" t="n"/>
      <c r="AU18" s="72" t="n"/>
      <c r="AV18" s="72" t="n"/>
      <c r="AW18" s="72" t="n"/>
      <c r="AX18" s="72" t="n"/>
      <c r="AY18" s="72" t="n"/>
      <c r="AZ18" s="72" t="n"/>
      <c r="BA18" s="72" t="n"/>
      <c r="BB18" s="72" t="n"/>
      <c r="BC18" s="72" t="n"/>
      <c r="BD18" s="72" t="n"/>
      <c r="BG18" s="88" t="n"/>
    </row>
    <row r="19" ht="30" customFormat="1" customHeight="1" s="58" thickBot="1">
      <c r="A19" s="11" t="n"/>
      <c r="B19" s="22" t="inlineStr">
        <is>
          <t>Study 3: Cyber Due Diligence as a Standard for Attribution</t>
        </is>
      </c>
      <c r="C19" s="95" t="n">
        <v>1</v>
      </c>
      <c r="D19" s="143" t="n">
        <v>44927</v>
      </c>
      <c r="E19" s="143" t="n">
        <v>45960</v>
      </c>
      <c r="F19" s="13" t="n"/>
      <c r="G19" s="3">
        <f>IF(OR(ISBLANK(task_start),ISBLANK(task_end)),"",task_end-task_start+1)</f>
        <v/>
      </c>
      <c r="H19" s="72" t="n"/>
      <c r="I19" s="72" t="n"/>
      <c r="J19" s="72" t="n"/>
      <c r="K19" s="72" t="n"/>
      <c r="L19" s="72" t="n"/>
      <c r="M19" s="72" t="n"/>
      <c r="N19" s="72" t="n"/>
      <c r="O19" s="72" t="n"/>
      <c r="P19" s="72" t="n"/>
      <c r="Q19" s="72" t="n"/>
      <c r="R19" s="72" t="n"/>
      <c r="S19" s="72" t="n"/>
      <c r="T19" s="72" t="n"/>
      <c r="U19" s="72" t="n"/>
      <c r="V19" s="72" t="n"/>
      <c r="W19" s="72" t="n"/>
      <c r="X19" s="72" t="n"/>
      <c r="Y19" s="72" t="n"/>
      <c r="Z19" s="72" t="n"/>
      <c r="AA19" s="72" t="n"/>
      <c r="AB19" s="72" t="n"/>
      <c r="AC19" s="72" t="n"/>
      <c r="AD19" s="72" t="n"/>
      <c r="AE19" s="72" t="n"/>
      <c r="AF19" s="72" t="n"/>
      <c r="AG19" s="72" t="inlineStr">
        <is>
          <t>Chp4: ZKPs and IR (1 article)</t>
        </is>
      </c>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G19" s="88" t="n"/>
    </row>
    <row r="20" ht="30" customFormat="1" customHeight="1" s="58" thickBot="1">
      <c r="A20" s="11" t="n"/>
      <c r="B20" s="23" t="inlineStr">
        <is>
          <t>Article 1: Attribution of Cyber Incidents in International Politics</t>
        </is>
      </c>
      <c r="C20" s="95" t="n">
        <v>1</v>
      </c>
      <c r="D20" s="143" t="n">
        <v>45369</v>
      </c>
      <c r="E20" s="143" t="n">
        <v>45979</v>
      </c>
      <c r="F20" s="13" t="n"/>
      <c r="G20" s="3">
        <f>IF(OR(ISBLANK(task_start),ISBLANK(task_end)),"",task_end-task_start+1)</f>
        <v/>
      </c>
      <c r="H20" s="72" t="n"/>
      <c r="I20" s="72" t="n"/>
      <c r="J20" s="72" t="n"/>
      <c r="K20" s="72" t="n"/>
      <c r="L20" s="72" t="n"/>
      <c r="M20" s="72" t="n"/>
      <c r="N20" s="72" t="n"/>
      <c r="O20" s="72" t="n"/>
      <c r="P20" s="72" t="n"/>
      <c r="Q20" s="72" t="n"/>
      <c r="R20" s="72" t="n"/>
      <c r="S20" s="72" t="n"/>
      <c r="T20" s="72" t="n"/>
      <c r="U20" s="72" t="n"/>
      <c r="V20" s="72" t="n"/>
      <c r="W20" s="114" t="n"/>
      <c r="X20" s="145" t="n"/>
      <c r="Y20" s="145" t="n"/>
      <c r="Z20" s="145" t="n"/>
      <c r="AA20" s="145" t="n"/>
      <c r="AB20" s="145" t="n"/>
      <c r="AC20" s="145" t="n"/>
      <c r="AD20" s="145" t="n"/>
      <c r="AE20" s="145" t="n"/>
      <c r="AF20" s="145" t="n"/>
      <c r="AG20" s="146" t="n"/>
      <c r="AH20" s="72" t="inlineStr">
        <is>
          <t>Chp5: Attribution Framework (two articles)</t>
        </is>
      </c>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67" t="n"/>
      <c r="BF20" s="36" t="n"/>
      <c r="BG20" s="93" t="n"/>
      <c r="BH20" s="67" t="n"/>
      <c r="BI20" s="36" t="n"/>
      <c r="BJ20" s="36" t="n"/>
      <c r="BK20" s="36" t="n"/>
      <c r="BL20" s="36" t="n"/>
      <c r="BM20" s="36" t="n"/>
      <c r="BN20" s="36" t="n"/>
      <c r="BO20" s="36" t="n"/>
    </row>
    <row r="21" ht="30" customFormat="1" customHeight="1" s="58" thickBot="1">
      <c r="A21" s="11" t="n"/>
      <c r="B21" s="23" t="inlineStr">
        <is>
          <t>Zero-knowledge attribution and international law - meeting the standard of proof in cyberspace</t>
        </is>
      </c>
      <c r="C21" s="95" t="n">
        <v>1</v>
      </c>
      <c r="D21" s="143" t="n">
        <v>45612</v>
      </c>
      <c r="E21" s="143" t="n">
        <v>45716</v>
      </c>
      <c r="F21" s="13" t="n"/>
      <c r="G21" s="3">
        <f>IF(OR(ISBLANK(task_start),ISBLANK(task_end)),"",task_end-task_start+1)</f>
        <v/>
      </c>
      <c r="H21" s="72" t="n"/>
      <c r="I21" s="72" t="n"/>
      <c r="J21" s="72" t="n"/>
      <c r="K21" s="72" t="n"/>
      <c r="L21" s="72" t="n"/>
      <c r="M21" s="72" t="n"/>
      <c r="N21" s="72" t="n"/>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inlineStr">
        <is>
          <t>Chp6: Cyber attribution case before the ICJ (1 article)</t>
        </is>
      </c>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67" t="n"/>
      <c r="BF21" s="36" t="n"/>
      <c r="BG21" s="93" t="n"/>
      <c r="BH21" s="67" t="n"/>
      <c r="BI21" s="36" t="n"/>
      <c r="BJ21" s="36" t="n"/>
      <c r="BK21" s="36" t="n"/>
      <c r="BL21" s="36" t="n"/>
      <c r="BM21" s="36" t="n"/>
      <c r="BN21" s="36" t="n"/>
      <c r="BO21" s="36" t="n"/>
    </row>
    <row r="22" ht="30" customFormat="1" customHeight="1" s="58" thickBot="1">
      <c r="A22" s="11" t="n"/>
      <c r="B22" s="24" t="n"/>
      <c r="C22" s="96" t="n">
        <v>0</v>
      </c>
      <c r="D22" s="147" t="n">
        <v>46082</v>
      </c>
      <c r="E22" s="147" t="n">
        <v>46174</v>
      </c>
      <c r="F22" s="98" t="n"/>
      <c r="G22" s="99" t="n"/>
      <c r="H22" s="100" t="n"/>
      <c r="I22" s="100" t="n"/>
      <c r="J22" s="100" t="n"/>
      <c r="K22" s="100" t="n"/>
      <c r="L22" s="100" t="n"/>
      <c r="M22" s="100" t="n"/>
      <c r="N22" s="100" t="n"/>
      <c r="O22" s="100" t="n"/>
      <c r="P22" s="100" t="n"/>
      <c r="Q22" s="100" t="n"/>
      <c r="R22" s="100" t="n"/>
      <c r="S22" s="100" t="n"/>
      <c r="T22" s="100" t="n"/>
      <c r="U22" s="100" t="n"/>
      <c r="V22" s="100" t="n"/>
      <c r="W22" s="100" t="n"/>
      <c r="X22" s="100" t="n"/>
      <c r="Y22" s="100" t="n"/>
      <c r="Z22" s="100" t="n"/>
      <c r="AA22" s="100" t="n"/>
      <c r="AB22" s="100" t="n"/>
      <c r="AC22" s="100" t="n"/>
      <c r="AD22" s="100" t="n"/>
      <c r="AE22" s="100" t="n"/>
      <c r="AF22" s="100" t="n"/>
      <c r="AG22" s="100" t="n"/>
      <c r="AH22" s="100" t="n"/>
      <c r="AI22" s="100" t="n"/>
      <c r="AJ22" s="100" t="n"/>
      <c r="AK22" s="100" t="n"/>
      <c r="AL22" s="100" t="n"/>
      <c r="AM22" s="100" t="n"/>
      <c r="AN22" s="100" t="n"/>
      <c r="AO22" s="100" t="n"/>
      <c r="AP22" s="100" t="n"/>
      <c r="AQ22" s="100" t="n"/>
      <c r="AR22" s="100" t="n"/>
      <c r="AS22" s="100" t="n"/>
      <c r="AT22" s="100" t="n"/>
      <c r="AU22" s="100" t="n"/>
      <c r="AV22" s="100" t="n"/>
      <c r="AW22" s="100" t="n"/>
      <c r="AX22" s="100" t="inlineStr">
        <is>
          <t>Chp7: Institutions / treaty for ZKPs (1 article)</t>
        </is>
      </c>
      <c r="AY22" s="100" t="n"/>
      <c r="AZ22" s="100" t="n"/>
      <c r="BA22" s="100" t="n"/>
      <c r="BB22" s="100" t="n"/>
      <c r="BC22" s="100" t="n"/>
      <c r="BD22" s="100" t="n"/>
      <c r="BH22" s="62" t="n"/>
      <c r="BI22" s="62" t="n"/>
      <c r="BJ22" s="62" t="n"/>
      <c r="BK22" s="62" t="n"/>
    </row>
    <row r="23" ht="30" customFormat="1" customHeight="1" s="58" thickBot="1">
      <c r="A23" s="107" t="n"/>
      <c r="B23" s="25" t="n"/>
      <c r="C23" s="95" t="n"/>
      <c r="D23" s="143" t="n"/>
      <c r="E23" s="143" t="n"/>
      <c r="F23" s="13" t="n"/>
      <c r="G23" s="3">
        <f>IF(OR(ISBLANK(task_start),ISBLANK(task_end)),"",task_end-task_start+1)</f>
        <v/>
      </c>
      <c r="H23" s="72" t="n"/>
      <c r="I23" s="72" t="n"/>
      <c r="J23" s="72" t="n"/>
      <c r="K23" s="72" t="n"/>
      <c r="L23" s="72" t="n"/>
      <c r="M23" s="72" t="n"/>
      <c r="N23" s="72" t="n"/>
      <c r="O23" s="72" t="n"/>
      <c r="P23" s="72" t="n"/>
      <c r="Q23" s="72" t="n"/>
      <c r="R23" s="72" t="n"/>
      <c r="S23" s="72" t="n"/>
      <c r="T23" s="72" t="n"/>
      <c r="U23" s="72" t="n"/>
      <c r="V23" s="72" t="n"/>
      <c r="W23" s="114" t="n"/>
      <c r="X23" s="145" t="n"/>
      <c r="Y23" s="145" t="n"/>
      <c r="Z23" s="145" t="n"/>
      <c r="AA23" s="145" t="n"/>
      <c r="AB23" s="145" t="n"/>
      <c r="AC23" s="145" t="n"/>
      <c r="AD23" s="145" t="n"/>
      <c r="AE23" s="145" t="n"/>
      <c r="AF23" s="145" t="n"/>
      <c r="AG23" s="146"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inlineStr">
        <is>
          <t>Chp8: Conclusions</t>
        </is>
      </c>
      <c r="BB23" s="72" t="n"/>
      <c r="BC23" s="72" t="n"/>
      <c r="BD23" s="72" t="n"/>
      <c r="BE23" s="37" t="n"/>
      <c r="BF23" s="37" t="n"/>
      <c r="BG23" s="37" t="n"/>
      <c r="BH23" s="37" t="n"/>
      <c r="BI23" s="37" t="n"/>
      <c r="BJ23" s="37" t="n"/>
      <c r="BK23" s="37" t="n"/>
      <c r="BL23" s="37" t="n"/>
      <c r="BM23" s="37" t="n"/>
      <c r="BN23" s="37" t="n"/>
      <c r="BO23" s="37" t="n"/>
    </row>
    <row r="24" ht="30" customHeight="1" thickBot="1">
      <c r="C24" s="96" t="n">
        <v>0</v>
      </c>
      <c r="D24" s="147" t="n">
        <v>46266</v>
      </c>
      <c r="E24" s="147" t="n">
        <v>46296</v>
      </c>
      <c r="F24" s="98" t="n"/>
      <c r="G24" s="99" t="n"/>
      <c r="H24" s="100" t="n"/>
      <c r="I24" s="100" t="n"/>
      <c r="J24" s="100" t="n"/>
      <c r="K24" s="100" t="n"/>
      <c r="L24" s="100" t="n"/>
      <c r="M24" s="100" t="n"/>
      <c r="N24" s="100" t="n"/>
      <c r="O24" s="100" t="n"/>
      <c r="P24" s="100" t="n"/>
      <c r="Q24" s="100" t="n"/>
      <c r="R24" s="100" t="n"/>
      <c r="S24" s="100" t="n"/>
      <c r="T24" s="100" t="n"/>
      <c r="U24" s="100" t="n"/>
      <c r="V24" s="100" t="n"/>
      <c r="W24" s="100" t="n"/>
      <c r="X24" s="100" t="n"/>
      <c r="Y24" s="100" t="n"/>
      <c r="Z24" s="100" t="n"/>
      <c r="AA24" s="100" t="n"/>
      <c r="AB24" s="100" t="n"/>
      <c r="AC24" s="100" t="n"/>
      <c r="AD24" s="100" t="n"/>
      <c r="AE24" s="100" t="n"/>
      <c r="AF24" s="100" t="n"/>
      <c r="AG24" s="100" t="n"/>
      <c r="AH24" s="100" t="n"/>
      <c r="AI24" s="100" t="n"/>
      <c r="AJ24" s="100" t="n"/>
      <c r="AK24" s="100" t="n"/>
      <c r="AL24" s="100" t="n"/>
      <c r="AM24" s="100" t="n"/>
      <c r="AN24" s="100" t="n"/>
      <c r="AO24" s="100" t="n"/>
      <c r="AP24" s="100" t="n"/>
      <c r="AQ24" s="100" t="n"/>
      <c r="AR24" s="100" t="n"/>
      <c r="AS24" s="100" t="n"/>
      <c r="AT24" s="100" t="n"/>
      <c r="AU24" s="100" t="n"/>
      <c r="AV24" s="100" t="n"/>
      <c r="AW24" s="100" t="n"/>
      <c r="AX24" s="100" t="n"/>
      <c r="AY24" s="100" t="n"/>
      <c r="AZ24" s="100" t="n"/>
      <c r="BA24" s="100" t="n"/>
      <c r="BB24" s="100" t="n"/>
      <c r="BC24" s="100" t="n"/>
      <c r="BD24" s="100" t="inlineStr">
        <is>
          <t>Thesis submission</t>
        </is>
      </c>
    </row>
    <row r="25" ht="30" customHeight="1" thickBot="1">
      <c r="C25" s="59" t="n"/>
      <c r="D25" s="148" t="n"/>
      <c r="E25" s="149" t="n"/>
      <c r="F25" s="13" t="n"/>
      <c r="G25" s="4">
        <f>IF(OR(ISBLANK(task_start),ISBLANK(task_end)),"",task_end-task_start+1)</f>
        <v/>
      </c>
      <c r="H25" s="37" t="n"/>
      <c r="I25" s="37" t="n"/>
      <c r="J25" s="37" t="n"/>
      <c r="K25" s="37" t="n"/>
      <c r="L25" s="37" t="n"/>
      <c r="M25" s="37" t="n"/>
      <c r="N25" s="37" t="n"/>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row>
    <row r="26" ht="30" customHeight="1">
      <c r="F26" s="2" t="n"/>
    </row>
    <row r="27" ht="30" customHeight="1">
      <c r="E27" s="150" t="n"/>
    </row>
  </sheetData>
  <mergeCells count="16">
    <mergeCell ref="A5:A6"/>
    <mergeCell ref="H4:K4"/>
    <mergeCell ref="E5:E6"/>
    <mergeCell ref="P2:Y2"/>
    <mergeCell ref="AJ4:AU4"/>
    <mergeCell ref="B5:B6"/>
    <mergeCell ref="H2:N2"/>
    <mergeCell ref="W20:AG20"/>
    <mergeCell ref="H1:N1"/>
    <mergeCell ref="C5:C6"/>
    <mergeCell ref="W23:AG23"/>
    <mergeCell ref="X4:AI4"/>
    <mergeCell ref="AV4:BG4"/>
    <mergeCell ref="L4:W4"/>
    <mergeCell ref="P1:Y1"/>
    <mergeCell ref="D5:D6"/>
  </mergeCells>
  <conditionalFormatting sqref="C5:C7 C9:C14 C16:C24">
    <cfRule type="dataBar" priority="53">
      <dataBar>
        <cfvo type="num" val="0"/>
        <cfvo type="num" val="1"/>
        <color theme="0"/>
      </dataBar>
    </cfRule>
  </conditionalFormatting>
  <conditionalFormatting sqref="H9">
    <cfRule type="expression" priority="55" dxfId="16">
      <formula>YEAR(TODAY())=P$5</formula>
    </cfRule>
  </conditionalFormatting>
  <conditionalFormatting sqref="H9:H10 H11:J11 H12:L13 H14:X14 P11:BD11 R12:BD12 R13:T13 X13:BD13 AH14:BD14">
    <cfRule type="expression" priority="21" dxfId="15">
      <formula>AND($D9 &lt;= H$6, $E9 &gt;= H$6)</formula>
    </cfRule>
  </conditionalFormatting>
  <conditionalFormatting sqref="H23:W23 AH23:BD23">
    <cfRule type="expression" priority="25" dxfId="0">
      <formula>AND($D23 &lt;= H$6, $D23 + ROUNDDOWN(($E23 - $D23 + 1) * $C23, 0) - 1 &gt;= H$6)</formula>
    </cfRule>
  </conditionalFormatting>
  <conditionalFormatting sqref="H16:AA16 H17:BD19 AD16:BD16">
    <cfRule type="expression" priority="16" dxfId="0">
      <formula>AND($D16 &lt;= H$6, $D16 + ROUNDDOWN(($E16 - $D16 + 1) * $C16, 0) - 1 &gt;= H$6)</formula>
    </cfRule>
    <cfRule type="expression" priority="17" dxfId="6">
      <formula>AND($D16 &lt;= H$6, $E16 &gt;= H$6)</formula>
    </cfRule>
  </conditionalFormatting>
  <conditionalFormatting sqref="H9:BD14">
    <cfRule type="expression" priority="20" dxfId="11">
      <formula>AND(     $D9 &lt;= H$6,     $D9 + ROUNDDOWN(         ($E9 - $D9 + 1) * $C9, 0     ) - 1 &gt;= H$6 )</formula>
    </cfRule>
  </conditionalFormatting>
  <conditionalFormatting sqref="H23:BD23">
    <cfRule type="expression" priority="26" dxfId="3">
      <formula>AND($D23 &lt;= H$6, $E23 &gt;= H$6)</formula>
    </cfRule>
  </conditionalFormatting>
  <conditionalFormatting sqref="H24:BD24">
    <cfRule type="expression" priority="5" dxfId="2">
      <formula>AND(     $D24 &lt;= H$6,     $D24 + ROUNDDOWN(         ($E24 - $D24 + 1) * $C24, 0     ) - 1 &gt;= H$6 )</formula>
    </cfRule>
    <cfRule type="expression" priority="6" dxfId="1">
      <formula>AND($D24 &lt;= H$6, $E24 &gt;= H$6)</formula>
    </cfRule>
  </conditionalFormatting>
  <conditionalFormatting sqref="AB16">
    <cfRule type="expression" priority="63" dxfId="0">
      <formula>AND($D16 &lt;= AC$6, $D16 + ROUNDDOWN(($E16 - $D16 + 1) * $C16, 0) - 1 &gt;= AC$6)</formula>
    </cfRule>
    <cfRule type="expression" priority="64" dxfId="6">
      <formula>AND($D16 &lt;= AC$6, $E16 &gt;= AC$6)</formula>
    </cfRule>
  </conditionalFormatting>
  <conditionalFormatting sqref="BE20:BO20">
    <cfRule type="expression" priority="68" dxfId="0">
      <formula>AND($D23 &lt;= BE$6, $D23 + ROUNDDOWN(($E23 - $D23 + 1) * $C23, 0) - 1 &gt;= BE$6)</formula>
    </cfRule>
  </conditionalFormatting>
  <conditionalFormatting sqref="H20:W20 H21:AH21 AH20:BD20 AL21:BD21">
    <cfRule type="expression" priority="3" dxfId="0">
      <formula>AND($D20 &lt;= H$6, $D20 + ROUNDDOWN(($E20 - $D20 + 1) * $C20, 0) - 1 &gt;= H$6)</formula>
    </cfRule>
  </conditionalFormatting>
  <conditionalFormatting sqref="H20:BD21">
    <cfRule type="expression" priority="4" dxfId="3">
      <formula>AND($D20 &lt;= H$6, $E20 &gt;= H$6)</formula>
    </cfRule>
  </conditionalFormatting>
  <conditionalFormatting sqref="H22:BD22">
    <cfRule type="expression" priority="1" dxfId="2">
      <formula>AND(     $D22 &lt;= H$6,     $D22 + ROUNDDOWN(         ($E22 - $D22 + 1) * $C22, 0     ) - 1 &gt;= H$6 )</formula>
    </cfRule>
    <cfRule type="expression" priority="2" dxfId="1">
      <formula>AND($D22 &lt;= H$6, $E22 &gt;= H$6)</formula>
    </cfRule>
  </conditionalFormatting>
  <conditionalFormatting sqref="BE21:BO21">
    <cfRule type="expression" priority="75" dxfId="0">
      <formula>AND(#REF! &lt;= BE$6, #REF! + ROUNDDOWN((#REF! - #REF! + 1) * #REF!, 0) - 1 &gt;= BE$6)</formula>
    </cfRule>
  </conditionalFormatting>
  <dataValidations count="11">
    <dataValidation sqref="P2" showDropDown="0" showInputMessage="1" showErrorMessage="0" allowBlank="1" promptTitle="Display Week" prompt="Changing this number will scroll the Gantt Chart view." type="whole" operator="greaterThanOrEqual">
      <formula1>1</formula1>
    </dataValidation>
    <dataValidation sqref="A1" showDropDown="0" showInputMessage="1" showErrorMessage="1" allowBlank="1" prompt="Create a Project Schedule in this worksheet._x000a_Enter title of this project in cell B1. _x000a_Information on how to use this worksheet, including instructions for screen readers and the author of this workbook, is in the About worksheet._x000a_"/>
    <dataValidation sqref="A2" showDropDown="0" showInputMessage="1" showErrorMessage="1" allowBlank="1" prompt="Enter Company name in cel B2."/>
    <dataValidation sqref="A3" showDropDown="0" showInputMessage="1" showErrorMessage="1" allowBlank="1" prompt="Enter the name of the Project Lead in cell C3. Enter the Project Start date in cell Q1. Project Start: label is in cell I1."/>
    <dataValidation sqref="A9:A10" showDropDown="0" showInputMessage="1" showErrorMessage="1" allowBlank="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dataValidation sqref="A11" showDropDown="0" showInputMessage="1" showErrorMessage="1" allowBlank="1" prompt="Rows 10 through 13 repeat the pattern from row 9. _x000a__x000a_Repeat the instructions from cell A9 for all task rows in this worksheet. _x000a__x000a_Continue entering tasks in cells A10 through A13 or go to cell A14 to learn more."/>
    <dataValidation sqref="A5:A6" showDropDown="0" showInputMessage="1" showErrorMessage="1" allowBlank="1" prompt="Cells I5 through BL5 contain the day number for the week represented in the cell block above each date and are auto calculated._x000a__x000a_Today's date is outlined from today's date in row 5 through the entire date column to the end of the project schedule."/>
    <dataValidation sqref="A8" showDropDown="0" showInputMessage="1" showErrorMessage="1" allowBlank="1" prompt="Cell B8 contains the Phase 1 sample title. Enter a new title in cell B8._x000a_To delete the phase and work only from tasks, simply delete this row."/>
    <dataValidation sqref="A23" showDropDown="0" showInputMessage="1" showErrorMessage="1" allowBlank="1" prompt="This row marks the end of the Project Schedule. DO NOT enter anything in this row. _x000a_Insert new rows ABOVE this one to continue building out your Project Schedule."/>
    <dataValidation sqref="A15" showDropDown="0" showInputMessage="1" showErrorMessage="1" allowBlank="1" prompt="Cell B14 contains the Phase 2 sample title. Enter a new title in cell B14._x000a_To delete the phase and work only from tasks, simply delete this row. To remove the phase, simply delete the row. Add tasks to previous phase by entering a new row above this one._x000a_"/>
    <dataValidation sqref="A4" showDropDown="0" showInputMessage="1" showErrorMessage="1" allowBlank="1" prompt="The Display week in cell Q2 is the starting week to display in the project schedule in cell I4. The project start date is Week 1. To change the display week, enter a new week number in cell Q2._x000a__x000a_Start date for each week is auto calculated starting in I4."/>
  </dataValidations>
  <printOptions horizontalCentered="1"/>
  <pageMargins left="0.35" right="0.35" top="0.35" bottom="0.5" header="0.3" footer="0.3"/>
  <pageSetup orientation="landscape" scale="61" fitToHeight="0"/>
  <headerFooter differentFirst="1" scaleWithDoc="0">
    <oddHeader/>
    <oddFooter>&amp;L&amp;C&amp;R</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B24"/>
  <sheetViews>
    <sheetView showGridLines="0" zoomScaleNormal="100" workbookViewId="0">
      <selection activeCell="A1" sqref="A1"/>
    </sheetView>
  </sheetViews>
  <sheetFormatPr baseColWidth="8" defaultColWidth="9" defaultRowHeight="12.5"/>
  <cols>
    <col width="87" customWidth="1" style="5" min="1" max="1"/>
    <col width="9" customWidth="1" style="1" min="2" max="16384"/>
  </cols>
  <sheetData>
    <row r="1" ht="46.5" customHeight="1"/>
    <row r="2" ht="15.5" customFormat="1" customHeight="1" s="7">
      <c r="A2" s="28" t="inlineStr">
        <is>
          <t>SIMPLE GANTT CHART by Vertex42.com</t>
        </is>
      </c>
      <c r="B2" s="6" t="n"/>
    </row>
    <row r="3" ht="27" customFormat="1" customHeight="1" s="9">
      <c r="A3" s="29" t="n"/>
      <c r="B3" s="10" t="n"/>
    </row>
    <row r="4" ht="30.5" customFormat="1" customHeight="1" s="8">
      <c r="A4" s="30" t="inlineStr">
        <is>
          <t>About This Template</t>
        </is>
      </c>
    </row>
    <row r="5" ht="74.25" customHeight="1">
      <c r="A5" s="31" t="inlineStr">
        <is>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is>
      </c>
    </row>
    <row r="6" ht="26.25" customHeight="1">
      <c r="A6" s="30" t="inlineStr">
        <is>
          <t>Guide for Screen Readers</t>
        </is>
      </c>
    </row>
    <row r="7" ht="205.15" customFormat="1" customHeight="1" s="5">
      <c r="A7" s="32" t="inlineStr">
        <is>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is>
      </c>
    </row>
    <row r="8" ht="30.5" customFormat="1" customHeight="1" s="8">
      <c r="A8" s="30" t="inlineStr">
        <is>
          <t>Additional Help</t>
        </is>
      </c>
    </row>
    <row r="9" ht="42" customHeight="1">
      <c r="A9" s="31" t="inlineStr">
        <is>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is>
      </c>
    </row>
    <row r="10" ht="28.15" customFormat="1" customHeight="1" s="5">
      <c r="A10" s="33" t="inlineStr">
        <is>
          <t>How to Use the Simple Gantt Chart</t>
        </is>
      </c>
    </row>
    <row r="11" ht="30.5" customFormat="1" customHeight="1" s="8">
      <c r="A11" s="30" t="inlineStr">
        <is>
          <t>More Project Management Templates</t>
        </is>
      </c>
    </row>
    <row r="12" ht="28" customHeight="1">
      <c r="A12" s="31" t="inlineStr">
        <is>
          <t>Visit Vertex42.com to download other project management templates, including different types of project schedules, Gantt charts, tasks lists, etc.</t>
        </is>
      </c>
    </row>
    <row r="13" ht="28.15" customFormat="1" customHeight="1" s="5">
      <c r="A13" s="33" t="inlineStr">
        <is>
          <t>Project Management Templates</t>
        </is>
      </c>
    </row>
    <row r="14" ht="30.5" customFormat="1" customHeight="1" s="8">
      <c r="A14" s="30" t="inlineStr">
        <is>
          <t>About Vertex42</t>
        </is>
      </c>
    </row>
    <row r="15" ht="75" customHeight="1">
      <c r="A15" s="31" t="inlineStr">
        <is>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is>
      </c>
    </row>
    <row r="16" ht="70" customHeight="1">
      <c r="A16" s="31" t="inlineStr">
        <is>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is>
      </c>
    </row>
    <row r="17">
      <c r="A17" s="34" t="n"/>
    </row>
    <row r="18">
      <c r="A18" s="34" t="n"/>
    </row>
    <row r="19">
      <c r="A19" s="34" t="n"/>
    </row>
    <row r="20">
      <c r="A20" s="34" t="n"/>
    </row>
    <row r="21">
      <c r="A21" s="34" t="n"/>
    </row>
    <row r="22">
      <c r="A22" s="34" t="n"/>
    </row>
    <row r="23">
      <c r="A23" s="34" t="n"/>
    </row>
    <row r="24">
      <c r="A24" s="34" t="n"/>
    </row>
  </sheetData>
  <hyperlinks>
    <hyperlink xmlns:r="http://schemas.openxmlformats.org/officeDocument/2006/relationships" ref="A2" r:id="rId1"/>
    <hyperlink xmlns:r="http://schemas.openxmlformats.org/officeDocument/2006/relationships" ref="A10" r:id="rId2"/>
    <hyperlink xmlns:r="http://schemas.openxmlformats.org/officeDocument/2006/relationships" ref="A13" r:id="rId3"/>
  </hyperlinks>
  <pageMargins left="0.5" right="0.5" top="0.5" bottom="0.5" header="0.3" footer="0.3"/>
  <pageSetup orientation="portrait"/>
  <drawing xmlns:r="http://schemas.openxmlformats.org/officeDocument/2006/relationships" r:id="rId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2024-10-30T21:01:26Z</dcterms:created>
  <dcterms:modified xmlns:dcterms="http://purl.org/dc/terms/" xmlns:xsi="http://www.w3.org/2001/XMLSchema-instance" xsi:type="dcterms:W3CDTF">2026-02-26T20:32:07Z</dcterms:modified>
  <cp:lastModifiedBy>Luano Rodrigues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0x01010079F111ED35F8CC479449609E8A0923A6</vt:lpwstr>
  </property>
  <property name="MediaServiceImageTags" fmtid="{D5CDD505-2E9C-101B-9397-08002B2CF9AE}" pid="3">
    <vt:lpwstr xmlns:vt="http://schemas.openxmlformats.org/officeDocument/2006/docPropsVTypes"/>
  </property>
</Properties>
</file>