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Project schedule" sheetId="1" state="visible" r:id="rId1"/>
    <sheet xmlns:r="http://schemas.openxmlformats.org/officeDocument/2006/relationships" name="About" sheetId="2" state="visible" r:id="rId2"/>
  </sheets>
  <definedNames>
    <definedName name="Project_Start">'Project schedule'!$P$1</definedName>
    <definedName name="task_end">'Project schedule'!$E$5:$E$23</definedName>
    <definedName name="task_progress" localSheetId="0">'Project schedule'!$C$9:$C$23</definedName>
    <definedName name="task_start" localSheetId="0">'Project schedule'!$D$9:$D$23</definedName>
    <definedName name="today" localSheetId="0">TODAY()</definedName>
    <definedName name="_xlnm.Print_Titles" localSheetId="0">'Project schedule'!$4:$6</definedName>
    <definedName name="_xlnm.Print_Area" localSheetId="0">'Project schedule'!$H$4:$BF$23</definedName>
  </definedNames>
  <calcPr calcId="191029" fullCalcOnLoad="1"/>
</workbook>
</file>

<file path=xl/styles.xml><?xml version="1.0" encoding="utf-8"?>
<styleSheet xmlns="http://schemas.openxmlformats.org/spreadsheetml/2006/main">
  <numFmts count="5">
    <numFmt numFmtId="164" formatCode="m/d/yy;@"/>
    <numFmt numFmtId="165" formatCode="dd/mm/yy;@"/>
    <numFmt numFmtId="166" formatCode="dd/mm/yyyy;@"/>
    <numFmt numFmtId="167" formatCode="0_ ;[Red]\-0\ "/>
    <numFmt numFmtId="168" formatCode="ddd\,\ m/d/yyyy"/>
  </numFmts>
  <fonts count="73">
    <font>
      <name val="Arial"/>
      <family val="2"/>
      <color theme="1"/>
      <sz val="11"/>
      <scheme val="minor"/>
    </font>
    <font>
      <name val="Arial"/>
      <family val="2"/>
      <sz val="10"/>
      <scheme val="minor"/>
    </font>
    <font>
      <name val="Arial"/>
      <family val="2"/>
      <color indexed="12"/>
      <sz val="11"/>
      <u val="single"/>
    </font>
    <font>
      <name val="Arial"/>
      <family val="2"/>
      <sz val="11"/>
      <scheme val="minor"/>
    </font>
    <font>
      <name val="Arial"/>
      <family val="2"/>
      <color theme="1"/>
      <sz val="11"/>
      <scheme val="minor"/>
    </font>
    <font>
      <name val="Arial"/>
      <family val="2"/>
      <color theme="1"/>
      <sz val="14"/>
      <scheme val="minor"/>
    </font>
    <font>
      <name val="Arial Black"/>
      <family val="2"/>
      <b val="1"/>
      <color theme="1" tint="0.3499862666707358"/>
      <sz val="22"/>
      <scheme val="major"/>
    </font>
    <font>
      <name val="Arial"/>
      <family val="2"/>
      <b val="1"/>
      <color theme="1" tint="0.3499862666707358"/>
      <sz val="12"/>
      <scheme val="minor"/>
    </font>
    <font>
      <name val="Arial"/>
      <family val="2"/>
      <b val="1"/>
      <sz val="10"/>
      <scheme val="minor"/>
    </font>
    <font>
      <name val="Arial"/>
      <family val="2"/>
      <color theme="1" tint="0.499984740745262"/>
      <sz val="11"/>
      <scheme val="minor"/>
    </font>
    <font>
      <name val="Arial Black"/>
      <family val="2"/>
      <sz val="20"/>
      <scheme val="major"/>
    </font>
    <font>
      <name val="Arial"/>
      <family val="2"/>
      <color theme="0"/>
      <sz val="11"/>
      <scheme val="minor"/>
    </font>
    <font>
      <name val="Arial"/>
      <family val="2"/>
      <sz val="10"/>
    </font>
    <font>
      <name val="Arial"/>
      <family val="2"/>
      <color theme="1"/>
      <sz val="11"/>
    </font>
    <font>
      <name val="Arial"/>
      <family val="2"/>
      <color theme="1"/>
      <sz val="16"/>
      <scheme val="minor"/>
    </font>
    <font>
      <name val="Arial"/>
      <family val="2"/>
      <b val="1"/>
      <sz val="11"/>
      <scheme val="minor"/>
    </font>
    <font>
      <name val="Arial"/>
      <family val="2"/>
      <color theme="1"/>
      <sz val="10"/>
      <scheme val="minor"/>
    </font>
    <font>
      <name val="Arial"/>
      <family val="2"/>
      <b val="1"/>
      <color theme="1"/>
      <sz val="10"/>
      <scheme val="minor"/>
    </font>
    <font>
      <name val="Arial"/>
      <family val="2"/>
      <b val="1"/>
      <sz val="8"/>
      <scheme val="minor"/>
    </font>
    <font>
      <name val="Arial"/>
      <family val="2"/>
      <i val="1"/>
      <color theme="1"/>
      <sz val="10"/>
      <scheme val="minor"/>
    </font>
    <font>
      <name val="Arial"/>
      <family val="2"/>
      <color theme="1" tint="0.499984740745262"/>
      <sz val="10"/>
      <scheme val="minor"/>
    </font>
    <font>
      <name val="Arial"/>
      <family val="2"/>
      <b val="1"/>
      <color theme="9"/>
      <sz val="16"/>
      <scheme val="minor"/>
    </font>
    <font>
      <name val="Arial Black"/>
      <family val="2"/>
      <b val="1"/>
      <color theme="9"/>
      <sz val="16"/>
      <scheme val="major"/>
    </font>
    <font>
      <name val="Arial Black"/>
      <family val="2"/>
      <b val="1"/>
      <color theme="9"/>
      <sz val="40"/>
      <scheme val="major"/>
    </font>
    <font>
      <name val="Arial"/>
      <family val="2"/>
      <color rgb="FF1D2129"/>
      <sz val="11"/>
      <scheme val="minor"/>
    </font>
    <font>
      <name val="Arial"/>
      <family val="2"/>
      <color indexed="12"/>
      <sz val="11"/>
      <u val="single"/>
      <scheme val="minor"/>
    </font>
    <font>
      <name val="Arial"/>
      <family val="2"/>
      <color theme="1"/>
      <sz val="8"/>
      <scheme val="minor"/>
    </font>
    <font>
      <name val="Arial"/>
      <family val="2"/>
      <b val="1"/>
      <color rgb="FF000000"/>
      <sz val="12"/>
    </font>
    <font>
      <name val="Arial"/>
      <family val="2"/>
      <color rgb="FF000000"/>
      <sz val="10"/>
    </font>
    <font>
      <name val="Arial"/>
      <color rgb="FF000000"/>
      <sz val="9"/>
      <scheme val="minor"/>
    </font>
    <font>
      <name val="Arial"/>
      <family val="2"/>
      <b val="1"/>
      <color theme="1"/>
      <sz val="16"/>
      <scheme val="minor"/>
    </font>
    <font>
      <name val="Arial"/>
      <b val="1"/>
      <sz val="11"/>
    </font>
    <font>
      <name val="Calibri"/>
      <b val="1"/>
      <color rgb="FF3F2A56"/>
      <sz val="9"/>
    </font>
    <font>
      <name val="Calibri"/>
      <b val="1"/>
      <color rgb="FF7A1F5C"/>
      <sz val="9"/>
    </font>
    <font>
      <name val="Calibri"/>
      <b val="1"/>
      <color rgb="FF111827"/>
      <sz val="10"/>
    </font>
    <font>
      <name val="Calibri"/>
      <color rgb="FF1F2937"/>
      <sz val="10"/>
    </font>
    <font>
      <name val="Calibri"/>
      <b val="1"/>
      <color rgb="FF1F2937"/>
      <sz val="10"/>
    </font>
    <font>
      <name val="Calibri"/>
      <b val="1"/>
      <color rgb="FF1F2937"/>
      <sz val="8"/>
    </font>
    <font>
      <name val="Liberation Sans"/>
      <b val="1"/>
      <color rgb="00000000"/>
      <sz val="7.5"/>
    </font>
    <font>
      <name val="Arial"/>
      <family val="2"/>
      <color theme="0"/>
      <sz val="22"/>
      <scheme val="minor"/>
    </font>
    <font>
      <name val="Arial"/>
      <family val="2"/>
      <b val="1"/>
      <color rgb="FF000000"/>
      <sz val="24"/>
    </font>
    <font>
      <name val="Arial"/>
      <family val="2"/>
      <sz val="22"/>
      <scheme val="minor"/>
    </font>
    <font>
      <name val="Arial"/>
      <family val="2"/>
      <color theme="1"/>
      <sz val="22"/>
      <scheme val="minor"/>
    </font>
    <font>
      <name val="Arial"/>
      <family val="2"/>
      <color rgb="FF000000"/>
      <sz val="20"/>
    </font>
    <font>
      <name val="Calibri"/>
      <color rgb="FF1F2937"/>
      <sz val="20"/>
    </font>
    <font>
      <name val="Arial"/>
      <family val="2"/>
      <color theme="1"/>
      <sz val="20"/>
      <scheme val="minor"/>
    </font>
    <font>
      <name val="Arial"/>
      <family val="2"/>
      <sz val="20"/>
      <scheme val="minor"/>
    </font>
    <font>
      <name val="Liberation Sans"/>
      <b val="1"/>
      <color rgb="00000000"/>
      <sz val="15"/>
    </font>
    <font>
      <name val="Arial"/>
      <color rgb="FF000000"/>
      <sz val="18"/>
      <scheme val="minor"/>
    </font>
    <font>
      <name val="Calibri"/>
      <b val="1"/>
      <color rgb="FF1F2937"/>
      <sz val="20"/>
    </font>
    <font>
      <name val="Calibri"/>
      <b val="1"/>
      <color rgb="FF3F2A56"/>
      <sz val="18"/>
    </font>
    <font>
      <name val="Calibri"/>
      <b val="1"/>
      <color rgb="FF1F2937"/>
      <sz val="16"/>
    </font>
    <font>
      <name val="Calibri"/>
      <b val="1"/>
      <color rgb="FF7A1F5C"/>
      <sz val="18"/>
    </font>
    <font>
      <name val="Arial"/>
      <family val="2"/>
      <i val="1"/>
      <color theme="1"/>
      <sz val="20"/>
      <scheme val="minor"/>
    </font>
    <font>
      <name val="Arial"/>
      <family val="2"/>
      <b val="1"/>
      <color rgb="FF000000"/>
      <sz val="14"/>
    </font>
    <font>
      <name val="Arial"/>
      <family val="2"/>
      <color theme="1"/>
      <sz val="18"/>
      <scheme val="minor"/>
    </font>
    <font>
      <name val="Arial"/>
      <family val="2"/>
      <color rgb="FF000000"/>
      <sz val="14"/>
    </font>
    <font>
      <name val="Calibri"/>
      <color rgb="FF1F2937"/>
      <sz val="18"/>
    </font>
    <font>
      <name val="Arial"/>
      <family val="2"/>
      <sz val="14"/>
      <scheme val="minor"/>
    </font>
    <font>
      <name val="Liberation Sans"/>
      <b val="1"/>
      <color rgb="00000000"/>
      <sz val="18"/>
    </font>
    <font>
      <name val="Calibri"/>
      <b val="1"/>
      <color rgb="FF1F2937"/>
      <sz val="18"/>
    </font>
    <font>
      <name val="Arial"/>
      <family val="2"/>
      <i val="1"/>
      <color theme="1"/>
      <sz val="14"/>
      <scheme val="minor"/>
    </font>
    <font>
      <name val="Arial"/>
      <family val="2"/>
      <color rgb="FF000000"/>
      <sz val="11"/>
    </font>
    <font>
      <name val="Arial"/>
      <family val="2"/>
      <i val="1"/>
      <color theme="1"/>
      <sz val="11"/>
      <scheme val="minor"/>
    </font>
    <font>
      <name val="Calibri"/>
      <color rgb="FF1F2937"/>
      <sz val="12"/>
    </font>
    <font>
      <name val="Arial"/>
      <family val="2"/>
      <color theme="1"/>
      <sz val="12"/>
      <scheme val="minor"/>
    </font>
    <font>
      <name val="Liberation Sans"/>
      <b val="1"/>
      <color rgb="00000000"/>
      <sz val="12"/>
    </font>
    <font>
      <name val="Arial"/>
      <color rgb="FF000000"/>
      <sz val="12"/>
      <scheme val="minor"/>
    </font>
    <font>
      <name val="Calibri"/>
      <b val="1"/>
      <color rgb="FF1F2937"/>
      <sz val="12"/>
    </font>
    <font>
      <name val="Calibri"/>
      <b val="1"/>
      <color rgb="FF3F2A56"/>
      <sz val="12"/>
    </font>
    <font>
      <name val="Calibri"/>
      <b val="1"/>
      <color rgb="FF7A1F5C"/>
      <sz val="12"/>
    </font>
    <font>
      <name val="Arial"/>
      <family val="2"/>
      <b val="1"/>
      <color theme="1"/>
      <sz val="12"/>
      <scheme val="minor"/>
    </font>
    <font>
      <name val="Arial"/>
      <b val="1"/>
      <color rgb="FF000000"/>
      <sz val="12"/>
      <scheme val="minor"/>
    </font>
  </fonts>
  <fills count="12">
    <fill>
      <patternFill/>
    </fill>
    <fill>
      <patternFill patternType="gray125"/>
    </fill>
    <fill>
      <patternFill patternType="solid">
        <fgColor theme="0" tint="-0.049989318521683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0" tint="-0.0499893185216834"/>
        <bgColor theme="4"/>
      </patternFill>
    </fill>
    <fill>
      <patternFill patternType="solid">
        <fgColor theme="0" tint="-0.1499374370555742"/>
        <bgColor indexed="64"/>
      </patternFill>
    </fill>
    <fill>
      <patternFill patternType="solid">
        <fgColor rgb="FFC1A9FC"/>
      </patternFill>
    </fill>
    <fill>
      <patternFill patternType="solid">
        <fgColor rgb="FFE0D3FE"/>
      </patternFill>
    </fill>
    <fill>
      <patternFill patternType="solid">
        <fgColor rgb="FFFF88E4"/>
      </patternFill>
    </fill>
    <fill>
      <patternFill patternType="solid">
        <fgColor rgb="FFFFD6F2"/>
      </patternFill>
    </fill>
    <fill>
      <patternFill patternType="solid">
        <fgColor rgb="FFFFF0F8"/>
      </patternFill>
    </fill>
  </fills>
  <borders count="53">
    <border>
      <left/>
      <right/>
      <top/>
      <bottom/>
      <diagonal/>
    </border>
    <border>
      <left/>
      <right/>
      <top style="medium">
        <color theme="0" tint="-0.1499374370555742"/>
      </top>
      <bottom style="medium">
        <color theme="0" tint="-0.149937437055574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1499069185460982"/>
      </left>
      <right style="thin">
        <color theme="0" tint="-0.1499069185460982"/>
      </right>
      <top/>
      <bottom/>
      <diagonal/>
    </border>
    <border>
      <left style="thin">
        <color theme="0" tint="-0.0499893185216834"/>
      </left>
      <right style="thin">
        <color theme="0" tint="-0.0499893185216834"/>
      </right>
      <top style="thin">
        <color theme="0" tint="-0.0499893185216834"/>
      </top>
      <bottom style="thin">
        <color theme="0" tint="-0.0499893185216834"/>
      </bottom>
      <diagonal/>
    </border>
    <border>
      <left/>
      <right/>
      <top style="thin">
        <color theme="5" tint="0.5999633777886288"/>
      </top>
      <bottom style="thin">
        <color theme="5" tint="0.5999633777886288"/>
      </bottom>
      <diagonal/>
    </border>
    <border>
      <left/>
      <right/>
      <top style="thin">
        <color theme="0" tint="-0.0499893185216834"/>
      </top>
      <bottom/>
      <diagonal/>
    </border>
    <border>
      <left/>
      <right/>
      <top/>
      <bottom style="thin">
        <color theme="1" tint="0.499984740745262"/>
      </bottom>
      <diagonal/>
    </border>
    <border>
      <left style="thin">
        <color theme="0" tint="-0.1499069185460982"/>
      </left>
      <right/>
      <top/>
      <bottom/>
      <diagonal/>
    </border>
    <border>
      <left style="thin">
        <color theme="0" tint="-0.0499893185216834"/>
      </left>
      <right style="thin">
        <color theme="0" tint="-0.0499893185216834"/>
      </right>
      <top/>
      <bottom style="thin">
        <color theme="0" tint="-0.049989318521683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medium">
        <color theme="0"/>
      </left>
      <right style="thin">
        <color rgb="FF000000"/>
      </right>
      <top/>
      <bottom style="medium">
        <color theme="1"/>
      </bottom>
      <diagonal/>
    </border>
    <border>
      <left style="thick">
        <color theme="1"/>
      </left>
      <right style="thick">
        <color theme="1"/>
      </right>
      <top style="thick">
        <color theme="1"/>
      </top>
      <bottom style="thick">
        <color theme="1"/>
      </bottom>
      <diagonal/>
    </border>
    <border>
      <left/>
      <right/>
      <top/>
      <bottom style="thin">
        <color rgb="FFC1A9FC"/>
      </bottom>
      <diagonal/>
    </border>
    <border>
      <left/>
      <right/>
      <top/>
      <bottom style="thin">
        <color theme="5" tint="0.5999633777886288"/>
      </bottom>
      <diagonal/>
    </border>
    <border>
      <left/>
      <right style="thin">
        <color theme="0" tint="-0.0499893185216834"/>
      </right>
      <top style="thin">
        <color theme="0" tint="-0.0499893185216834"/>
      </top>
      <bottom style="thin">
        <color theme="0" tint="-0.0499893185216834"/>
      </bottom>
      <diagonal/>
    </border>
    <border>
      <left/>
      <right style="thick">
        <color theme="1"/>
      </right>
      <top style="thick">
        <color theme="1"/>
      </top>
      <bottom style="thick">
        <color theme="1"/>
      </bottom>
      <diagonal/>
    </border>
    <border>
      <left/>
      <right style="thin">
        <color theme="0" tint="-0.0499893185216834"/>
      </right>
      <top/>
      <bottom style="thin">
        <color theme="0" tint="-0.0499893185216834"/>
      </bottom>
      <diagonal/>
    </border>
    <border>
      <left/>
      <right/>
      <top style="medium">
        <color theme="0" tint="-0.1499374370555742"/>
      </top>
      <bottom/>
      <diagonal/>
    </border>
    <border>
      <left/>
      <right/>
      <top/>
      <bottom style="medium">
        <color theme="0" tint="-0.149937437055574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dotted">
        <color theme="2"/>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style="medium">
        <color theme="0"/>
      </left>
      <right style="medium">
        <color theme="1"/>
      </right>
      <top/>
      <bottom style="medium">
        <color theme="1"/>
      </bottom>
      <diagonal/>
    </border>
    <border>
      <left/>
      <right style="medium">
        <color theme="1"/>
      </right>
      <top/>
      <bottom/>
      <diagonal/>
    </border>
    <border>
      <left style="medium">
        <color theme="1"/>
      </left>
      <right/>
      <top/>
      <bottom/>
      <diagonal/>
    </border>
    <border>
      <left style="medium">
        <color theme="1"/>
      </left>
      <right/>
      <top/>
      <bottom style="thin">
        <color rgb="FFC1A9FC"/>
      </bottom>
      <diagonal/>
    </border>
    <border>
      <left style="thin">
        <color theme="0" tint="-0.0499893185216834"/>
      </left>
      <right style="medium">
        <color theme="1"/>
      </right>
      <top/>
      <bottom style="thin">
        <color theme="0" tint="-0.0499893185216834"/>
      </bottom>
      <diagonal/>
    </border>
    <border>
      <left style="thin">
        <color theme="0" tint="-0.0499893185216834"/>
      </left>
      <right style="medium">
        <color theme="1"/>
      </right>
      <top style="thin">
        <color theme="0" tint="-0.0499893185216834"/>
      </top>
      <bottom style="thin">
        <color theme="0" tint="-0.0499893185216834"/>
      </bottom>
      <diagonal/>
    </border>
    <border>
      <left style="medium">
        <color theme="1"/>
      </left>
      <right/>
      <top/>
      <bottom style="thin">
        <color theme="5" tint="0.5999633777886288"/>
      </bottom>
      <diagonal/>
    </border>
    <border>
      <left style="medium">
        <color theme="1"/>
      </left>
      <right/>
      <top style="thin">
        <color theme="5" tint="0.5999633777886288"/>
      </top>
      <bottom style="thin">
        <color theme="5" tint="0.5999633777886288"/>
      </bottom>
      <diagonal/>
    </border>
    <border>
      <left style="medium">
        <color theme="1"/>
      </left>
      <right/>
      <top style="thin">
        <color theme="8" tint="0.5999633777886288"/>
      </top>
      <bottom style="medium">
        <color theme="1"/>
      </bottom>
      <diagonal/>
    </border>
    <border>
      <left/>
      <right/>
      <top style="medium">
        <color theme="0" tint="-0.1499374370555742"/>
      </top>
      <bottom style="medium">
        <color theme="1"/>
      </bottom>
      <diagonal/>
    </border>
    <border>
      <left/>
      <right/>
      <top/>
      <bottom style="medium">
        <color theme="1"/>
      </bottom>
      <diagonal/>
    </border>
    <border>
      <left style="thin">
        <color theme="2"/>
      </left>
      <right style="thin">
        <color theme="2"/>
      </right>
      <top style="thin">
        <color theme="2"/>
      </top>
      <bottom style="medium">
        <color theme="1"/>
      </bottom>
      <diagonal/>
    </border>
    <border>
      <left/>
      <right style="thin">
        <color rgb="FF000000"/>
      </right>
      <top/>
      <bottom style="medium">
        <color theme="1"/>
      </bottom>
      <diagonal/>
    </border>
    <border>
      <left/>
      <right/>
      <top style="thin">
        <color theme="1" tint="0.499984740745262"/>
      </top>
      <bottom style="thin">
        <color theme="1" tint="0.499984740745262"/>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rgb="FFDC9FC9"/>
      </left>
      <right style="thin">
        <color rgb="FFDC9FC9"/>
      </right>
      <top style="thin">
        <color rgb="FFDC9FC9"/>
      </top>
      <bottom style="thin">
        <color rgb="FFDC9FC9"/>
      </bottom>
      <diagonal/>
    </border>
    <border>
      <left/>
      <right/>
      <top style="thin">
        <color theme="2"/>
      </top>
      <bottom/>
      <diagonal/>
    </border>
    <border>
      <left/>
      <right style="thin">
        <color theme="2"/>
      </right>
      <top style="thin">
        <color theme="2"/>
      </top>
      <bottom/>
      <diagonal/>
    </border>
    <border>
      <left/>
      <right style="medium">
        <color theme="1"/>
      </right>
      <top style="medium">
        <color theme="1"/>
      </top>
      <bottom/>
      <diagonal/>
    </border>
    <border>
      <left/>
      <right/>
      <top/>
      <bottom/>
    </border>
    <border>
      <left/>
      <right style="medium">
        <color theme="1"/>
      </right>
      <top/>
      <bottom style="medium">
        <color theme="1"/>
      </bottom>
    </border>
    <border>
      <left/>
      <right style="medium">
        <color theme="1"/>
      </right>
      <top/>
      <bottom style="medium">
        <color theme="1"/>
      </bottom>
      <diagonal/>
    </border>
  </borders>
  <cellStyleXfs count="11">
    <xf numFmtId="0" fontId="4" fillId="0" borderId="0"/>
    <xf numFmtId="0" fontId="2" fillId="0" borderId="0" applyAlignment="1" applyProtection="1">
      <alignment vertical="top"/>
      <protection locked="0" hidden="0"/>
    </xf>
    <xf numFmtId="9" fontId="4" fillId="0" borderId="0"/>
    <xf numFmtId="0" fontId="11" fillId="0" borderId="0"/>
    <xf numFmtId="0" fontId="6" fillId="0" borderId="0"/>
    <xf numFmtId="0" fontId="5" fillId="0" borderId="0"/>
    <xf numFmtId="0" fontId="4" fillId="0" borderId="0" applyAlignment="1">
      <alignment horizontal="right" indent="1"/>
    </xf>
    <xf numFmtId="168" fontId="4" fillId="0" borderId="2" applyAlignment="1">
      <alignment horizontal="center" vertical="center"/>
    </xf>
    <xf numFmtId="164" fontId="4" fillId="0" borderId="1" applyAlignment="1">
      <alignment horizontal="center" vertical="center"/>
    </xf>
    <xf numFmtId="0" fontId="4" fillId="0" borderId="1" applyAlignment="1">
      <alignment horizontal="center" vertical="center"/>
    </xf>
    <xf numFmtId="0" fontId="4" fillId="0" borderId="1" applyAlignment="1">
      <alignment horizontal="left" vertical="center" indent="2"/>
    </xf>
  </cellStyleXfs>
  <cellXfs count="294">
    <xf numFmtId="0" fontId="0" fillId="0" borderId="0" pivotButton="0" quotePrefix="0" xfId="0"/>
    <xf numFmtId="0" fontId="1" fillId="0" borderId="0" pivotButton="0" quotePrefix="0" xfId="0"/>
    <xf numFmtId="0" fontId="0" fillId="0" borderId="0" applyAlignment="1" pivotButton="0" quotePrefix="0" xfId="0">
      <alignment horizontal="right" vertical="center"/>
    </xf>
    <xf numFmtId="0" fontId="3" fillId="0" borderId="1" applyAlignment="1" pivotButton="0" quotePrefix="0" xfId="0">
      <alignment horizontal="center" vertical="center"/>
    </xf>
    <xf numFmtId="0" fontId="3" fillId="2" borderId="1" applyAlignment="1" pivotButton="0" quotePrefix="0" xfId="0">
      <alignment horizontal="center" vertical="center"/>
    </xf>
    <xf numFmtId="0" fontId="1" fillId="0" borderId="0" applyAlignment="1" pivotButton="0" quotePrefix="0" xfId="0">
      <alignment vertical="top"/>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top"/>
    </xf>
    <xf numFmtId="0" fontId="9" fillId="0" borderId="0" applyAlignment="1" pivotButton="0" quotePrefix="0" xfId="0">
      <alignment vertical="top"/>
    </xf>
    <xf numFmtId="0" fontId="11" fillId="0" borderId="0" pivotButton="0" quotePrefix="0" xfId="3"/>
    <xf numFmtId="0" fontId="11" fillId="0" borderId="0" applyAlignment="1" pivotButton="0" quotePrefix="0" xfId="3">
      <alignment wrapText="1"/>
    </xf>
    <xf numFmtId="0" fontId="3" fillId="0" borderId="0" applyAlignment="1" pivotButton="0" quotePrefix="0" xfId="0">
      <alignment horizontal="center" vertical="center"/>
    </xf>
    <xf numFmtId="0" fontId="12" fillId="0" borderId="0" pivotButton="0" quotePrefix="0" xfId="0"/>
    <xf numFmtId="0" fontId="13" fillId="0" borderId="0" pivotButton="0" quotePrefix="0" xfId="0"/>
    <xf numFmtId="0" fontId="14" fillId="0" borderId="0" pivotButton="0" quotePrefix="0" xfId="0"/>
    <xf numFmtId="0" fontId="15" fillId="0" borderId="0" applyAlignment="1" pivotButton="0" quotePrefix="0" xfId="0">
      <alignment horizontal="left" indent="1"/>
    </xf>
    <xf numFmtId="0" fontId="4" fillId="0" borderId="0" pivotButton="0" quotePrefix="0" xfId="0"/>
    <xf numFmtId="0" fontId="4" fillId="0" borderId="0" applyAlignment="1" pivotButton="0" quotePrefix="0" xfId="6">
      <alignment horizontal="right" indent="1"/>
    </xf>
    <xf numFmtId="0" fontId="1" fillId="0" borderId="0" applyAlignment="1" pivotButton="0" quotePrefix="0" xfId="1">
      <alignment horizontal="left" vertical="top" indent="1"/>
    </xf>
    <xf numFmtId="0" fontId="16" fillId="0" borderId="0" pivotButton="0" quotePrefix="0" xfId="0"/>
    <xf numFmtId="0" fontId="19" fillId="2" borderId="0" applyAlignment="1" pivotButton="0" quotePrefix="0" xfId="0">
      <alignment horizontal="left" vertical="center" indent="1"/>
    </xf>
    <xf numFmtId="0" fontId="21" fillId="0" borderId="0" applyAlignment="1" pivotButton="0" quotePrefix="0" xfId="5">
      <alignment horizontal="left" vertical="center" indent="1"/>
    </xf>
    <xf numFmtId="0" fontId="23" fillId="0" borderId="0" applyAlignment="1" pivotButton="0" quotePrefix="0" xfId="4">
      <alignment horizontal="left"/>
    </xf>
    <xf numFmtId="0" fontId="7" fillId="0" borderId="0" applyAlignment="1" pivotButton="0" quotePrefix="0" xfId="0">
      <alignment horizontal="left" vertical="center" indent="1"/>
    </xf>
    <xf numFmtId="0" fontId="3" fillId="0" borderId="0" applyAlignment="1" pivotButton="0" quotePrefix="0" xfId="0">
      <alignment horizontal="left" vertical="top" indent="1"/>
    </xf>
    <xf numFmtId="0" fontId="21" fillId="0" borderId="0" applyAlignment="1" pivotButton="0" quotePrefix="0" xfId="0">
      <alignment horizontal="left" vertical="center" indent="1"/>
    </xf>
    <xf numFmtId="0" fontId="24" fillId="0" borderId="0" applyAlignment="1" pivotButton="0" quotePrefix="0" xfId="0">
      <alignment horizontal="left" vertical="top" wrapText="1" indent="1"/>
    </xf>
    <xf numFmtId="0" fontId="0" fillId="0" borderId="0" applyAlignment="1" pivotButton="0" quotePrefix="0" xfId="0">
      <alignment horizontal="left" vertical="top" wrapText="1" indent="1"/>
    </xf>
    <xf numFmtId="0" fontId="25" fillId="0" borderId="0" applyAlignment="1" pivotButton="0" quotePrefix="0" xfId="1">
      <alignment horizontal="left" vertical="top" indent="1"/>
    </xf>
    <xf numFmtId="0" fontId="1" fillId="0" borderId="0" applyAlignment="1" pivotButton="0" quotePrefix="0" xfId="0">
      <alignment horizontal="left" vertical="top" indent="1"/>
    </xf>
    <xf numFmtId="164" fontId="11" fillId="0" borderId="0" applyAlignment="1" pivotButton="0" quotePrefix="0" xfId="3">
      <alignment wrapText="1"/>
    </xf>
    <xf numFmtId="0" fontId="0" fillId="0" borderId="4" applyAlignment="1" pivotButton="0" quotePrefix="0" xfId="0">
      <alignment vertical="center"/>
    </xf>
    <xf numFmtId="0" fontId="0" fillId="2" borderId="0" applyAlignment="1" pivotButton="0" quotePrefix="0" xfId="0">
      <alignment vertical="center"/>
    </xf>
    <xf numFmtId="0" fontId="0" fillId="0" borderId="9" applyAlignment="1" pivotButton="0" quotePrefix="0" xfId="0">
      <alignment vertical="center"/>
    </xf>
    <xf numFmtId="0" fontId="4" fillId="0" borderId="10" pivotButton="0" quotePrefix="0" xfId="0"/>
    <xf numFmtId="0" fontId="4" fillId="0" borderId="11" pivotButton="0" quotePrefix="0" xfId="0"/>
    <xf numFmtId="0" fontId="4" fillId="0" borderId="12" pivotButton="0" quotePrefix="0" xfId="0"/>
    <xf numFmtId="165" fontId="18" fillId="6" borderId="13" applyAlignment="1" pivotButton="0" quotePrefix="0" xfId="0">
      <alignment horizontal="center" vertical="center" wrapText="1"/>
    </xf>
    <xf numFmtId="166" fontId="12" fillId="0" borderId="0" applyAlignment="1" pivotButton="0" quotePrefix="0" xfId="0">
      <alignment horizontal="center"/>
    </xf>
    <xf numFmtId="166" fontId="13" fillId="0" borderId="0" applyAlignment="1" pivotButton="0" quotePrefix="0" xfId="0">
      <alignment horizontal="center"/>
    </xf>
    <xf numFmtId="166" fontId="4" fillId="0" borderId="0" applyAlignment="1" pivotButton="0" quotePrefix="0" xfId="0">
      <alignment horizontal="center"/>
    </xf>
    <xf numFmtId="166" fontId="20" fillId="2" borderId="0" applyAlignment="1" pivotButton="0" quotePrefix="0" xfId="0">
      <alignment horizontal="left" vertical="center"/>
    </xf>
    <xf numFmtId="166" fontId="0" fillId="0" borderId="0" applyAlignment="1" pivotButton="0" quotePrefix="0" xfId="0">
      <alignment horizontal="center"/>
    </xf>
    <xf numFmtId="166" fontId="12" fillId="0" borderId="0" applyAlignment="1" pivotButton="0" quotePrefix="0" xfId="0">
      <alignment horizontal="center" vertical="center"/>
    </xf>
    <xf numFmtId="166" fontId="13" fillId="0" borderId="0" pivotButton="0" quotePrefix="0" xfId="0"/>
    <xf numFmtId="166" fontId="4" fillId="0" borderId="0" pivotButton="0" quotePrefix="0" xfId="0"/>
    <xf numFmtId="166" fontId="1" fillId="2" borderId="0" applyAlignment="1" pivotButton="0" quotePrefix="0" xfId="0">
      <alignment horizontal="center" vertical="center"/>
    </xf>
    <xf numFmtId="166" fontId="0" fillId="0" borderId="0" pivotButton="0" quotePrefix="0" xfId="0"/>
    <xf numFmtId="166" fontId="11" fillId="0" borderId="0" applyAlignment="1" pivotButton="0" quotePrefix="0" xfId="0">
      <alignment horizontal="center"/>
    </xf>
    <xf numFmtId="165" fontId="26" fillId="2" borderId="0" applyAlignment="1" pivotButton="0" quotePrefix="0" xfId="0">
      <alignment horizontal="center" vertical="center" shrinkToFit="1"/>
    </xf>
    <xf numFmtId="167" fontId="5" fillId="0" borderId="14" applyAlignment="1" pivotButton="0" quotePrefix="0" xfId="5">
      <alignment vertical="center"/>
    </xf>
    <xf numFmtId="0" fontId="0" fillId="0" borderId="0" applyAlignment="1" pivotButton="0" quotePrefix="0" xfId="0">
      <alignment vertical="center"/>
    </xf>
    <xf numFmtId="9" fontId="1" fillId="2" borderId="0" applyAlignment="1" pivotButton="0" quotePrefix="0" xfId="2">
      <alignment horizontal="center" vertical="center"/>
    </xf>
    <xf numFmtId="0" fontId="0" fillId="0" borderId="6" applyAlignment="1" pivotButton="0" quotePrefix="0" xfId="0">
      <alignment vertical="center"/>
    </xf>
    <xf numFmtId="14" fontId="0" fillId="0" borderId="6" applyAlignment="1" pivotButton="0" quotePrefix="0" xfId="0">
      <alignment vertical="center"/>
    </xf>
    <xf numFmtId="0" fontId="0" fillId="0" borderId="8" applyAlignment="1" pivotButton="0" quotePrefix="0" xfId="0">
      <alignment vertical="center"/>
    </xf>
    <xf numFmtId="0" fontId="0" fillId="0" borderId="3" applyAlignment="1" pivotButton="0" quotePrefix="0" xfId="0">
      <alignment vertical="center"/>
    </xf>
    <xf numFmtId="0" fontId="0" fillId="0" borderId="19" applyAlignment="1" pivotButton="0" quotePrefix="0" xfId="0">
      <alignment vertical="center"/>
    </xf>
    <xf numFmtId="0" fontId="0" fillId="0" borderId="17" applyAlignment="1" pivotButton="0" quotePrefix="0" xfId="0">
      <alignment vertical="center"/>
    </xf>
    <xf numFmtId="167" fontId="5" fillId="0" borderId="18" applyAlignment="1" pivotButton="0" quotePrefix="0" xfId="5">
      <alignment vertical="center"/>
    </xf>
    <xf numFmtId="0" fontId="3" fillId="0" borderId="20" applyAlignment="1" pivotButton="0" quotePrefix="0" xfId="0">
      <alignment horizontal="center" vertical="center"/>
    </xf>
    <xf numFmtId="0" fontId="3" fillId="0" borderId="21" applyAlignment="1" pivotButton="0" quotePrefix="0" xfId="0">
      <alignment horizontal="center" vertical="center"/>
    </xf>
    <xf numFmtId="0" fontId="0" fillId="0" borderId="22" applyAlignment="1" pivotButton="0" quotePrefix="0" xfId="0">
      <alignment vertical="center"/>
    </xf>
    <xf numFmtId="0" fontId="0" fillId="0" borderId="22" applyAlignment="1" pivotButton="0" quotePrefix="0" xfId="0">
      <alignment horizontal="center" vertical="center"/>
    </xf>
    <xf numFmtId="0" fontId="0" fillId="0" borderId="22" applyAlignment="1" pivotButton="0" quotePrefix="0" xfId="0">
      <alignment horizontal="right" vertical="center"/>
    </xf>
    <xf numFmtId="0" fontId="29" fillId="0" borderId="22" applyAlignment="1" pivotButton="0" quotePrefix="0" xfId="0">
      <alignment horizontal="center" vertical="center"/>
    </xf>
    <xf numFmtId="0" fontId="0" fillId="0" borderId="26" applyAlignment="1" pivotButton="0" quotePrefix="0" xfId="0">
      <alignment vertical="center"/>
    </xf>
    <xf numFmtId="0" fontId="0" fillId="0" borderId="27" pivotButton="0" quotePrefix="0" xfId="0"/>
    <xf numFmtId="166" fontId="0" fillId="0" borderId="29" applyAlignment="1" pivotButton="0" quotePrefix="0" xfId="0">
      <alignment horizontal="left" indent="1"/>
    </xf>
    <xf numFmtId="166" fontId="0" fillId="0" borderId="29" pivotButton="0" quotePrefix="0" xfId="0"/>
    <xf numFmtId="0" fontId="0" fillId="0" borderId="29" pivotButton="0" quotePrefix="0" xfId="0"/>
    <xf numFmtId="165" fontId="18" fillId="6" borderId="30" applyAlignment="1" pivotButton="0" quotePrefix="0" xfId="0">
      <alignment horizontal="center" vertical="center" wrapText="1"/>
    </xf>
    <xf numFmtId="165" fontId="26" fillId="2" borderId="31" applyAlignment="1" pivotButton="0" quotePrefix="0" xfId="0">
      <alignment horizontal="center" vertical="center" shrinkToFit="1"/>
    </xf>
    <xf numFmtId="0" fontId="16" fillId="0" borderId="32" pivotButton="0" quotePrefix="0" xfId="0"/>
    <xf numFmtId="166" fontId="16" fillId="0" borderId="0" pivotButton="0" quotePrefix="0" xfId="0"/>
    <xf numFmtId="0" fontId="0" fillId="0" borderId="31" applyAlignment="1" pivotButton="0" quotePrefix="0" xfId="0">
      <alignment vertical="center"/>
    </xf>
    <xf numFmtId="164" fontId="4" fillId="0" borderId="1" applyAlignment="1" pivotButton="0" quotePrefix="0" xfId="8">
      <alignment horizontal="center" vertical="center"/>
    </xf>
    <xf numFmtId="0" fontId="0" fillId="0" borderId="34" applyAlignment="1" pivotButton="0" quotePrefix="0" xfId="0">
      <alignment vertical="center"/>
    </xf>
    <xf numFmtId="0" fontId="0" fillId="0" borderId="35" applyAlignment="1" pivotButton="0" quotePrefix="0" xfId="0">
      <alignment vertical="center"/>
    </xf>
    <xf numFmtId="9" fontId="1" fillId="3" borderId="37" applyAlignment="1" pivotButton="0" quotePrefix="0" xfId="2">
      <alignment horizontal="center" vertical="center"/>
    </xf>
    <xf numFmtId="9" fontId="1" fillId="4" borderId="38" applyAlignment="1" pivotButton="0" quotePrefix="0" xfId="2">
      <alignment horizontal="center" vertical="center"/>
    </xf>
    <xf numFmtId="164" fontId="4" fillId="0" borderId="39" applyAlignment="1" pivotButton="0" quotePrefix="0" xfId="8">
      <alignment horizontal="center" vertical="center"/>
    </xf>
    <xf numFmtId="0" fontId="3" fillId="0" borderId="40" applyAlignment="1" pivotButton="0" quotePrefix="0" xfId="0">
      <alignment horizontal="center" vertical="center"/>
    </xf>
    <xf numFmtId="0" fontId="3" fillId="0" borderId="39" applyAlignment="1" pivotButton="0" quotePrefix="0" xfId="0">
      <alignment horizontal="center" vertical="center"/>
    </xf>
    <xf numFmtId="0" fontId="0" fillId="0" borderId="41" applyAlignment="1" pivotButton="0" quotePrefix="0" xfId="0">
      <alignment vertical="center"/>
    </xf>
    <xf numFmtId="165" fontId="18" fillId="6" borderId="42" applyAlignment="1" pivotButton="0" quotePrefix="0" xfId="0">
      <alignment horizontal="center" vertical="center" wrapText="1"/>
    </xf>
    <xf numFmtId="0" fontId="30" fillId="0" borderId="28" pivotButton="0" quotePrefix="0" xfId="0"/>
    <xf numFmtId="0" fontId="27" fillId="0" borderId="0" pivotButton="0" quotePrefix="0" xfId="0"/>
    <xf numFmtId="165" fontId="27" fillId="0" borderId="16" pivotButton="0" quotePrefix="0" xfId="0"/>
    <xf numFmtId="0" fontId="27" fillId="7" borderId="0" pivotButton="0" quotePrefix="0" xfId="0"/>
    <xf numFmtId="0" fontId="27" fillId="7" borderId="32" pivotButton="0" quotePrefix="0" xfId="0"/>
    <xf numFmtId="0" fontId="28" fillId="8" borderId="15" pivotButton="0" quotePrefix="0" xfId="0"/>
    <xf numFmtId="9" fontId="28" fillId="8" borderId="33" pivotButton="0" quotePrefix="0" xfId="0"/>
    <xf numFmtId="0" fontId="27" fillId="9" borderId="16" pivotButton="0" quotePrefix="0" xfId="0"/>
    <xf numFmtId="0" fontId="27" fillId="9" borderId="36" pivotButton="0" quotePrefix="0" xfId="0"/>
    <xf numFmtId="0" fontId="16" fillId="10" borderId="5" applyAlignment="1" pivotButton="0" quotePrefix="0" xfId="10">
      <alignment horizontal="left" vertical="center" indent="2"/>
    </xf>
    <xf numFmtId="9" fontId="1" fillId="10" borderId="37" applyAlignment="1" pivotButton="0" quotePrefix="0" xfId="2">
      <alignment horizontal="center" vertical="center"/>
    </xf>
    <xf numFmtId="0" fontId="27" fillId="10" borderId="16" pivotButton="0" quotePrefix="0" xfId="0"/>
    <xf numFmtId="0" fontId="27" fillId="10" borderId="36" pivotButton="0" quotePrefix="0" xfId="0"/>
    <xf numFmtId="0" fontId="31" fillId="0" borderId="29" applyAlignment="1" pivotButton="0" quotePrefix="0" xfId="0">
      <alignment horizontal="left" vertical="center"/>
    </xf>
    <xf numFmtId="0" fontId="0" fillId="9" borderId="0" pivotButton="0" quotePrefix="0" xfId="0"/>
    <xf numFmtId="0" fontId="0" fillId="10" borderId="0" pivotButton="0" quotePrefix="0" xfId="0"/>
    <xf numFmtId="0" fontId="0" fillId="7" borderId="22" applyAlignment="1" pivotButton="0" quotePrefix="0" xfId="0">
      <alignment vertical="center"/>
    </xf>
    <xf numFmtId="0" fontId="0" fillId="7" borderId="24" applyAlignment="1" pivotButton="0" quotePrefix="0" xfId="0">
      <alignment vertical="center"/>
    </xf>
    <xf numFmtId="0" fontId="0" fillId="7" borderId="25" applyAlignment="1" pivotButton="0" quotePrefix="0" xfId="0">
      <alignment vertical="center"/>
    </xf>
    <xf numFmtId="0" fontId="0" fillId="7" borderId="26" applyAlignment="1" pivotButton="0" quotePrefix="0" xfId="0">
      <alignment vertical="center"/>
    </xf>
    <xf numFmtId="0" fontId="0" fillId="9" borderId="22" applyAlignment="1" pivotButton="0" quotePrefix="0" xfId="0">
      <alignment horizontal="center" vertical="center"/>
    </xf>
    <xf numFmtId="0" fontId="0" fillId="9" borderId="22" applyAlignment="1" pivotButton="0" quotePrefix="0" xfId="0">
      <alignment vertical="center"/>
    </xf>
    <xf numFmtId="0" fontId="0" fillId="10" borderId="41" applyAlignment="1" pivotButton="0" quotePrefix="0" xfId="0">
      <alignment vertical="center"/>
    </xf>
    <xf numFmtId="0" fontId="32" fillId="9" borderId="22" applyAlignment="1" pivotButton="0" quotePrefix="0" xfId="0">
      <alignment horizontal="center" vertical="center" shrinkToFit="1"/>
    </xf>
    <xf numFmtId="0" fontId="33" fillId="11" borderId="46" applyAlignment="1" pivotButton="0" quotePrefix="0" xfId="0">
      <alignment horizontal="left" vertical="center" shrinkToFit="1"/>
    </xf>
    <xf numFmtId="165" fontId="34" fillId="6" borderId="13" applyAlignment="1" pivotButton="0" quotePrefix="0" xfId="0">
      <alignment horizontal="center" vertical="center"/>
    </xf>
    <xf numFmtId="165" fontId="35" fillId="2" borderId="0" applyAlignment="1" pivotButton="0" quotePrefix="0" xfId="0">
      <alignment horizontal="center" vertical="center"/>
    </xf>
    <xf numFmtId="0" fontId="35" fillId="7" borderId="22" applyAlignment="1" pivotButton="0" quotePrefix="0" xfId="0">
      <alignment horizontal="center" vertical="center"/>
    </xf>
    <xf numFmtId="0" fontId="35" fillId="7" borderId="23" applyAlignment="1" pivotButton="0" quotePrefix="0" xfId="0">
      <alignment horizontal="center" vertical="center"/>
    </xf>
    <xf numFmtId="0" fontId="35" fillId="7" borderId="26" applyAlignment="1" pivotButton="0" quotePrefix="0" xfId="0">
      <alignment horizontal="center" vertical="center"/>
    </xf>
    <xf numFmtId="0" fontId="36" fillId="9" borderId="22" applyAlignment="1" pivotButton="0" quotePrefix="0" xfId="0">
      <alignment horizontal="left" vertical="center"/>
    </xf>
    <xf numFmtId="0" fontId="36" fillId="0" borderId="0" applyAlignment="1" pivotButton="0" quotePrefix="0" xfId="0">
      <alignment horizontal="left" vertical="center"/>
    </xf>
    <xf numFmtId="0" fontId="36" fillId="0" borderId="22" applyAlignment="1" pivotButton="0" quotePrefix="0" xfId="0">
      <alignment horizontal="left" vertical="center"/>
    </xf>
    <xf numFmtId="0" fontId="17" fillId="5" borderId="43" applyAlignment="1" pivotButton="0" quotePrefix="0" xfId="0">
      <alignment horizontal="left" vertical="center" indent="1"/>
    </xf>
    <xf numFmtId="0" fontId="0" fillId="0" borderId="7" pivotButton="0" quotePrefix="0" xfId="0"/>
    <xf numFmtId="167" fontId="34" fillId="0" borderId="27" applyAlignment="1" pivotButton="0" quotePrefix="0" xfId="5">
      <alignment horizontal="center" vertical="center"/>
    </xf>
    <xf numFmtId="0" fontId="0" fillId="0" borderId="44" pivotButton="0" quotePrefix="0" xfId="0"/>
    <xf numFmtId="0" fontId="0" fillId="0" borderId="45" pivotButton="0" quotePrefix="0" xfId="0"/>
    <xf numFmtId="0" fontId="21" fillId="0" borderId="0" applyAlignment="1" pivotButton="0" quotePrefix="0" xfId="6">
      <alignment horizontal="left"/>
    </xf>
    <xf numFmtId="0" fontId="0" fillId="0" borderId="0" pivotButton="0" quotePrefix="0" xfId="0"/>
    <xf numFmtId="166" fontId="22" fillId="0" borderId="0" applyAlignment="1" pivotButton="0" quotePrefix="0" xfId="7">
      <alignment horizontal="left" wrapText="1"/>
    </xf>
    <xf numFmtId="0" fontId="11" fillId="0" borderId="0" applyAlignment="1" pivotButton="0" quotePrefix="0" xfId="3">
      <alignment wrapText="1"/>
    </xf>
    <xf numFmtId="0" fontId="11" fillId="0" borderId="0" pivotButton="0" quotePrefix="0" xfId="3"/>
    <xf numFmtId="0" fontId="22" fillId="0" borderId="0" applyAlignment="1" pivotButton="0" quotePrefix="0" xfId="0">
      <alignment horizontal="left"/>
    </xf>
    <xf numFmtId="0" fontId="0" fillId="0" borderId="22" applyAlignment="1" pivotButton="0" quotePrefix="0" xfId="0">
      <alignment horizontal="center" vertical="center"/>
    </xf>
    <xf numFmtId="0" fontId="0" fillId="0" borderId="24" pivotButton="0" quotePrefix="0" xfId="0"/>
    <xf numFmtId="0" fontId="0" fillId="0" borderId="25" pivotButton="0" quotePrefix="0" xfId="0"/>
    <xf numFmtId="0" fontId="35" fillId="0" borderId="22" applyAlignment="1" pivotButton="0" quotePrefix="0" xfId="0">
      <alignment horizontal="center" vertical="center"/>
    </xf>
    <xf numFmtId="0" fontId="35" fillId="0" borderId="23" applyAlignment="1" pivotButton="0" quotePrefix="0" xfId="0">
      <alignment horizontal="center" vertical="center"/>
    </xf>
    <xf numFmtId="0" fontId="0" fillId="0" borderId="24" applyAlignment="1" pivotButton="0" quotePrefix="0" xfId="0">
      <alignment vertical="center"/>
    </xf>
    <xf numFmtId="0" fontId="0" fillId="0" borderId="25" applyAlignment="1" pivotButton="0" quotePrefix="0" xfId="0">
      <alignment vertical="center"/>
    </xf>
    <xf numFmtId="0" fontId="35" fillId="0" borderId="26" applyAlignment="1" pivotButton="0" quotePrefix="0" xfId="0">
      <alignment horizontal="center" vertical="center"/>
    </xf>
    <xf numFmtId="0" fontId="36" fillId="0" borderId="22" applyAlignment="1" pivotButton="0" quotePrefix="0" xfId="0">
      <alignment horizontal="left" vertical="center"/>
    </xf>
    <xf numFmtId="0" fontId="32" fillId="0" borderId="22" applyAlignment="1" pivotButton="0" quotePrefix="0" xfId="0">
      <alignment horizontal="center" vertical="center" shrinkToFit="1"/>
    </xf>
    <xf numFmtId="0" fontId="33" fillId="0" borderId="46" applyAlignment="1" pivotButton="0" quotePrefix="0" xfId="0">
      <alignment horizontal="left" vertical="center" shrinkToFit="1"/>
    </xf>
    <xf numFmtId="0" fontId="36" fillId="0" borderId="0" applyAlignment="1" pivotButton="0" quotePrefix="0" xfId="0">
      <alignment horizontal="left" vertical="center"/>
    </xf>
    <xf numFmtId="0" fontId="36" fillId="0" borderId="41" applyAlignment="1" pivotButton="0" quotePrefix="0" xfId="0">
      <alignment horizontal="left" vertical="center"/>
    </xf>
    <xf numFmtId="0" fontId="35" fillId="0" borderId="22" applyAlignment="1" pivotButton="0" quotePrefix="0" xfId="0">
      <alignment horizontal="left" vertical="center"/>
    </xf>
    <xf numFmtId="0" fontId="35" fillId="0" borderId="22" applyAlignment="1" pivotButton="0" quotePrefix="0" xfId="0">
      <alignment horizontal="left" vertical="center"/>
    </xf>
    <xf numFmtId="0" fontId="35" fillId="0" borderId="41" applyAlignment="1" pivotButton="0" quotePrefix="0" xfId="0">
      <alignment horizontal="left" vertical="center"/>
    </xf>
    <xf numFmtId="0" fontId="36" fillId="0" borderId="22" applyAlignment="1" pivotButton="0" quotePrefix="0" xfId="0">
      <alignment horizontal="left" vertical="center"/>
    </xf>
    <xf numFmtId="0" fontId="36" fillId="0" borderId="41" applyAlignment="1" pivotButton="0" quotePrefix="0" xfId="0">
      <alignment horizontal="left" vertical="center"/>
    </xf>
    <xf numFmtId="0" fontId="36" fillId="0" borderId="22" applyAlignment="1" pivotButton="0" quotePrefix="0" xfId="0">
      <alignment horizontal="left" vertical="center"/>
    </xf>
    <xf numFmtId="0" fontId="36" fillId="0" borderId="41" applyAlignment="1" pivotButton="0" quotePrefix="0" xfId="0">
      <alignment horizontal="left" vertical="center"/>
    </xf>
    <xf numFmtId="167" fontId="34" fillId="0" borderId="50" applyAlignment="1" pivotButton="0" quotePrefix="0" xfId="5">
      <alignment horizontal="center" vertical="center"/>
    </xf>
    <xf numFmtId="0" fontId="0" fillId="0" borderId="50" pivotButton="0" quotePrefix="0" xfId="0"/>
    <xf numFmtId="165" fontId="34" fillId="6" borderId="50" applyAlignment="1" pivotButton="0" quotePrefix="0" xfId="0">
      <alignment horizontal="center" vertical="center"/>
    </xf>
    <xf numFmtId="165" fontId="35" fillId="2" borderId="50" applyAlignment="1" pivotButton="0" quotePrefix="0" xfId="0">
      <alignment horizontal="center" vertical="center"/>
    </xf>
    <xf numFmtId="0" fontId="0" fillId="0" borderId="50" applyAlignment="1" pivotButton="0" quotePrefix="0" xfId="0">
      <alignment vertical="center"/>
    </xf>
    <xf numFmtId="14" fontId="0" fillId="0" borderId="50" applyAlignment="1" pivotButton="0" quotePrefix="0" xfId="0">
      <alignment vertical="center"/>
    </xf>
    <xf numFmtId="0" fontId="35" fillId="0" borderId="50" applyAlignment="1" pivotButton="0" quotePrefix="0" xfId="0">
      <alignment horizontal="left" vertical="center"/>
    </xf>
    <xf numFmtId="0" fontId="35" fillId="0" borderId="50" applyAlignment="1" pivotButton="0" quotePrefix="0" xfId="0">
      <alignment horizontal="center" vertical="center"/>
    </xf>
    <xf numFmtId="0" fontId="0" fillId="0" borderId="50" applyAlignment="1" pivotButton="0" quotePrefix="0" xfId="0">
      <alignment horizontal="center" vertical="center"/>
    </xf>
    <xf numFmtId="0" fontId="29" fillId="0" borderId="50" applyAlignment="1" pivotButton="0" quotePrefix="0" xfId="0">
      <alignment horizontal="center" vertical="center"/>
    </xf>
    <xf numFmtId="0" fontId="36" fillId="0" borderId="50" applyAlignment="1" pivotButton="0" quotePrefix="0" xfId="0">
      <alignment horizontal="left" vertical="center"/>
    </xf>
    <xf numFmtId="0" fontId="32" fillId="0" borderId="50" applyAlignment="1" pivotButton="0" quotePrefix="0" xfId="0">
      <alignment horizontal="center" vertical="center" shrinkToFit="1"/>
    </xf>
    <xf numFmtId="0" fontId="33" fillId="0" borderId="50" applyAlignment="1" pivotButton="0" quotePrefix="0" xfId="0">
      <alignment horizontal="left" vertical="center" shrinkToFit="1"/>
    </xf>
    <xf numFmtId="0" fontId="0" fillId="0" borderId="50" applyAlignment="1" pivotButton="0" quotePrefix="0" xfId="0">
      <alignment horizontal="right" vertical="center"/>
    </xf>
    <xf numFmtId="167" fontId="34" fillId="0" borderId="51" applyAlignment="1" pivotButton="0" quotePrefix="0" xfId="5">
      <alignment horizontal="center" vertical="center"/>
    </xf>
    <xf numFmtId="0" fontId="0" fillId="0" borderId="40" pivotButton="0" quotePrefix="0" xfId="0"/>
    <xf numFmtId="0" fontId="0" fillId="0" borderId="52" pivotButton="0" quotePrefix="0" xfId="0"/>
    <xf numFmtId="0" fontId="36" fillId="0" borderId="50" applyAlignment="1" pivotButton="0" quotePrefix="0" xfId="0">
      <alignment horizontal="left" vertical="center"/>
    </xf>
    <xf numFmtId="0" fontId="36" fillId="0" borderId="50" applyAlignment="1" pivotButton="0" quotePrefix="0" xfId="0">
      <alignment horizontal="left" vertical="center"/>
    </xf>
    <xf numFmtId="167" fontId="36" fillId="0" borderId="51" applyAlignment="1" pivotButton="0" quotePrefix="0" xfId="5">
      <alignment horizontal="center" vertical="center"/>
    </xf>
    <xf numFmtId="167" fontId="5" fillId="0" borderId="50" applyAlignment="1" pivotButton="0" quotePrefix="0" xfId="5">
      <alignment vertical="center"/>
    </xf>
    <xf numFmtId="165" fontId="18" fillId="0" borderId="50" applyAlignment="1" pivotButton="0" quotePrefix="0" xfId="0">
      <alignment horizontal="center" vertical="center" wrapText="1"/>
    </xf>
    <xf numFmtId="165" fontId="26" fillId="0" borderId="50" applyAlignment="1" pivotButton="0" quotePrefix="0" xfId="0">
      <alignment horizontal="center" vertical="center" shrinkToFit="1"/>
    </xf>
    <xf numFmtId="0" fontId="37" fillId="0" borderId="50" applyAlignment="1" pivotButton="0" quotePrefix="0" xfId="0">
      <alignment horizontal="left" vertical="center" shrinkToFit="1"/>
    </xf>
    <xf numFmtId="0" fontId="37" fillId="0" borderId="50" applyAlignment="1" pivotButton="0" quotePrefix="0" xfId="0">
      <alignment horizontal="left" vertical="center" shrinkToFit="1"/>
    </xf>
    <xf numFmtId="0" fontId="38" fillId="0" borderId="50" applyAlignment="1" pivotButton="0" quotePrefix="0" xfId="0">
      <alignment horizontal="left" vertical="center"/>
    </xf>
    <xf numFmtId="0" fontId="39" fillId="0" borderId="0" applyAlignment="1" pivotButton="0" quotePrefix="0" xfId="3">
      <alignment wrapText="1"/>
    </xf>
    <xf numFmtId="0" fontId="40" fillId="7" borderId="0" pivotButton="0" quotePrefix="0" xfId="0"/>
    <xf numFmtId="0" fontId="40" fillId="7" borderId="32" pivotButton="0" quotePrefix="0" xfId="0"/>
    <xf numFmtId="0" fontId="40" fillId="0" borderId="0" pivotButton="0" quotePrefix="0" xfId="0"/>
    <xf numFmtId="0" fontId="41" fillId="0" borderId="0" applyAlignment="1" pivotButton="0" quotePrefix="0" xfId="0">
      <alignment horizontal="center" vertical="center"/>
    </xf>
    <xf numFmtId="0" fontId="41" fillId="0" borderId="1" applyAlignment="1" pivotButton="0" quotePrefix="0" xfId="0">
      <alignment horizontal="center" vertical="center"/>
    </xf>
    <xf numFmtId="14" fontId="42" fillId="0" borderId="50" applyAlignment="1" pivotButton="0" quotePrefix="0" xfId="0">
      <alignment vertical="center"/>
    </xf>
    <xf numFmtId="0" fontId="42" fillId="0" borderId="50" applyAlignment="1" pivotButton="0" quotePrefix="0" xfId="0">
      <alignment vertical="center"/>
    </xf>
    <xf numFmtId="0" fontId="42" fillId="0" borderId="50" pivotButton="0" quotePrefix="0" xfId="0"/>
    <xf numFmtId="0" fontId="42" fillId="0" borderId="0" pivotButton="0" quotePrefix="0" xfId="0"/>
    <xf numFmtId="0" fontId="43" fillId="8" borderId="15" pivotButton="0" quotePrefix="0" xfId="0"/>
    <xf numFmtId="9" fontId="43" fillId="8" borderId="33" pivotButton="0" quotePrefix="0" xfId="0"/>
    <xf numFmtId="164" fontId="42" fillId="0" borderId="1" applyAlignment="1" pivotButton="0" quotePrefix="0" xfId="8">
      <alignment horizontal="center" vertical="center"/>
    </xf>
    <xf numFmtId="0" fontId="44" fillId="0" borderId="50" applyAlignment="1" pivotButton="0" quotePrefix="0" xfId="0">
      <alignment horizontal="left" vertical="center"/>
    </xf>
    <xf numFmtId="0" fontId="42" fillId="0" borderId="19" applyAlignment="1" pivotButton="0" quotePrefix="0" xfId="0">
      <alignment vertical="center"/>
    </xf>
    <xf numFmtId="0" fontId="42" fillId="0" borderId="9" applyAlignment="1" pivotButton="0" quotePrefix="0" xfId="0">
      <alignment vertical="center"/>
    </xf>
    <xf numFmtId="0" fontId="44" fillId="0" borderId="50" applyAlignment="1" pivotButton="0" quotePrefix="0" xfId="0">
      <alignment horizontal="center" vertical="center"/>
    </xf>
    <xf numFmtId="0" fontId="42" fillId="0" borderId="17" applyAlignment="1" pivotButton="0" quotePrefix="0" xfId="0">
      <alignment vertical="center"/>
    </xf>
    <xf numFmtId="0" fontId="42" fillId="0" borderId="4" applyAlignment="1" pivotButton="0" quotePrefix="0" xfId="0">
      <alignment vertical="center"/>
    </xf>
    <xf numFmtId="0" fontId="39" fillId="0" borderId="0" pivotButton="0" quotePrefix="0" xfId="3"/>
    <xf numFmtId="0" fontId="41" fillId="0" borderId="20" applyAlignment="1" pivotButton="0" quotePrefix="0" xfId="0">
      <alignment horizontal="center" vertical="center"/>
    </xf>
    <xf numFmtId="0" fontId="40" fillId="9" borderId="16" pivotButton="0" quotePrefix="0" xfId="0"/>
    <xf numFmtId="0" fontId="40" fillId="9" borderId="36" pivotButton="0" quotePrefix="0" xfId="0"/>
    <xf numFmtId="165" fontId="40" fillId="0" borderId="16" pivotButton="0" quotePrefix="0" xfId="0"/>
    <xf numFmtId="0" fontId="45" fillId="10" borderId="5" applyAlignment="1" pivotButton="0" quotePrefix="0" xfId="10">
      <alignment horizontal="left" vertical="center" indent="2"/>
    </xf>
    <xf numFmtId="9" fontId="46" fillId="10" borderId="37" applyAlignment="1" pivotButton="0" quotePrefix="0" xfId="2">
      <alignment horizontal="center" vertical="center"/>
    </xf>
    <xf numFmtId="0" fontId="47" fillId="0" borderId="50" applyAlignment="1" pivotButton="0" quotePrefix="0" xfId="0">
      <alignment horizontal="left" vertical="center"/>
    </xf>
    <xf numFmtId="0" fontId="42" fillId="0" borderId="50" applyAlignment="1" pivotButton="0" quotePrefix="0" xfId="0">
      <alignment horizontal="center" vertical="center"/>
    </xf>
    <xf numFmtId="0" fontId="48" fillId="0" borderId="50" applyAlignment="1" pivotButton="0" quotePrefix="0" xfId="0">
      <alignment horizontal="center" vertical="center"/>
    </xf>
    <xf numFmtId="0" fontId="49" fillId="0" borderId="50" applyAlignment="1" pivotButton="0" quotePrefix="0" xfId="0">
      <alignment horizontal="left" vertical="center"/>
    </xf>
    <xf numFmtId="0" fontId="50" fillId="0" borderId="50" applyAlignment="1" pivotButton="0" quotePrefix="0" xfId="0">
      <alignment horizontal="center" vertical="center" shrinkToFit="1"/>
    </xf>
    <xf numFmtId="0" fontId="51" fillId="0" borderId="50" applyAlignment="1" pivotButton="0" quotePrefix="0" xfId="0">
      <alignment horizontal="left" vertical="center" shrinkToFit="1"/>
    </xf>
    <xf numFmtId="0" fontId="52" fillId="0" borderId="50" applyAlignment="1" pivotButton="0" quotePrefix="0" xfId="0">
      <alignment horizontal="left" vertical="center" shrinkToFit="1"/>
    </xf>
    <xf numFmtId="0" fontId="41" fillId="0" borderId="21" applyAlignment="1" pivotButton="0" quotePrefix="0" xfId="0">
      <alignment horizontal="center" vertical="center"/>
    </xf>
    <xf numFmtId="0" fontId="42" fillId="0" borderId="50" applyAlignment="1" pivotButton="0" quotePrefix="0" xfId="0">
      <alignment horizontal="right" vertical="center"/>
    </xf>
    <xf numFmtId="0" fontId="40" fillId="10" borderId="16" pivotButton="0" quotePrefix="0" xfId="0"/>
    <xf numFmtId="0" fontId="40" fillId="10" borderId="36" pivotButton="0" quotePrefix="0" xfId="0"/>
    <xf numFmtId="164" fontId="42" fillId="0" borderId="39" applyAlignment="1" pivotButton="0" quotePrefix="0" xfId="8">
      <alignment horizontal="center" vertical="center"/>
    </xf>
    <xf numFmtId="0" fontId="41" fillId="0" borderId="40" applyAlignment="1" pivotButton="0" quotePrefix="0" xfId="0">
      <alignment horizontal="center" vertical="center"/>
    </xf>
    <xf numFmtId="0" fontId="41" fillId="0" borderId="39" applyAlignment="1" pivotButton="0" quotePrefix="0" xfId="0">
      <alignment horizontal="center" vertical="center"/>
    </xf>
    <xf numFmtId="0" fontId="53" fillId="2" borderId="0" applyAlignment="1" pivotButton="0" quotePrefix="0" xfId="0">
      <alignment horizontal="left" vertical="center" indent="1"/>
    </xf>
    <xf numFmtId="9" fontId="46" fillId="3" borderId="37" applyAlignment="1" pivotButton="0" quotePrefix="0" xfId="2">
      <alignment horizontal="center" vertical="center"/>
    </xf>
    <xf numFmtId="0" fontId="42" fillId="2" borderId="0" applyAlignment="1" pivotButton="0" quotePrefix="0" xfId="0">
      <alignment vertical="center"/>
    </xf>
    <xf numFmtId="0" fontId="54" fillId="7" borderId="0" pivotButton="0" quotePrefix="0" xfId="0"/>
    <xf numFmtId="0" fontId="54" fillId="7" borderId="32" pivotButton="0" quotePrefix="0" xfId="0"/>
    <xf numFmtId="0" fontId="54" fillId="0" borderId="0" pivotButton="0" quotePrefix="0" xfId="0"/>
    <xf numFmtId="14" fontId="55" fillId="0" borderId="50" applyAlignment="1" pivotButton="0" quotePrefix="0" xfId="0">
      <alignment vertical="center"/>
    </xf>
    <xf numFmtId="0" fontId="55" fillId="0" borderId="50" applyAlignment="1" pivotButton="0" quotePrefix="0" xfId="0">
      <alignment vertical="center"/>
    </xf>
    <xf numFmtId="0" fontId="55" fillId="0" borderId="50" pivotButton="0" quotePrefix="0" xfId="0"/>
    <xf numFmtId="0" fontId="55" fillId="0" borderId="0" pivotButton="0" quotePrefix="0" xfId="0"/>
    <xf numFmtId="0" fontId="56" fillId="8" borderId="15" pivotButton="0" quotePrefix="0" xfId="0"/>
    <xf numFmtId="9" fontId="56" fillId="8" borderId="33" pivotButton="0" quotePrefix="0" xfId="0"/>
    <xf numFmtId="164" fontId="5" fillId="0" borderId="1" applyAlignment="1" pivotButton="0" quotePrefix="0" xfId="8">
      <alignment horizontal="center" vertical="center"/>
    </xf>
    <xf numFmtId="0" fontId="57" fillId="0" borderId="50" applyAlignment="1" pivotButton="0" quotePrefix="0" xfId="0">
      <alignment horizontal="left" vertical="center"/>
    </xf>
    <xf numFmtId="0" fontId="55" fillId="0" borderId="19" applyAlignment="1" pivotButton="0" quotePrefix="0" xfId="0">
      <alignment vertical="center"/>
    </xf>
    <xf numFmtId="0" fontId="55" fillId="0" borderId="9" applyAlignment="1" pivotButton="0" quotePrefix="0" xfId="0">
      <alignment vertical="center"/>
    </xf>
    <xf numFmtId="0" fontId="57" fillId="0" borderId="50" applyAlignment="1" pivotButton="0" quotePrefix="0" xfId="0">
      <alignment horizontal="center" vertical="center"/>
    </xf>
    <xf numFmtId="0" fontId="55" fillId="0" borderId="17" applyAlignment="1" pivotButton="0" quotePrefix="0" xfId="0">
      <alignment vertical="center"/>
    </xf>
    <xf numFmtId="0" fontId="55" fillId="0" borderId="4" applyAlignment="1" pivotButton="0" quotePrefix="0" xfId="0">
      <alignment vertical="center"/>
    </xf>
    <xf numFmtId="0" fontId="54" fillId="9" borderId="16" pivotButton="0" quotePrefix="0" xfId="0"/>
    <xf numFmtId="0" fontId="54" fillId="9" borderId="36" pivotButton="0" quotePrefix="0" xfId="0"/>
    <xf numFmtId="165" fontId="54" fillId="0" borderId="16" pivotButton="0" quotePrefix="0" xfId="0"/>
    <xf numFmtId="0" fontId="5" fillId="10" borderId="5" applyAlignment="1" pivotButton="0" quotePrefix="0" xfId="10">
      <alignment horizontal="left" vertical="center" indent="2"/>
    </xf>
    <xf numFmtId="9" fontId="58" fillId="10" borderId="37" applyAlignment="1" pivotButton="0" quotePrefix="0" xfId="2">
      <alignment horizontal="center" vertical="center"/>
    </xf>
    <xf numFmtId="0" fontId="59" fillId="0" borderId="50" applyAlignment="1" pivotButton="0" quotePrefix="0" xfId="0">
      <alignment horizontal="left" vertical="center"/>
    </xf>
    <xf numFmtId="0" fontId="55" fillId="0" borderId="50" applyAlignment="1" pivotButton="0" quotePrefix="0" xfId="0">
      <alignment horizontal="center" vertical="center"/>
    </xf>
    <xf numFmtId="0" fontId="60" fillId="0" borderId="50" applyAlignment="1" pivotButton="0" quotePrefix="0" xfId="0">
      <alignment horizontal="left" vertical="center"/>
    </xf>
    <xf numFmtId="0" fontId="60" fillId="0" borderId="50" applyAlignment="1" pivotButton="0" quotePrefix="0" xfId="0">
      <alignment horizontal="left" vertical="center" shrinkToFit="1"/>
    </xf>
    <xf numFmtId="0" fontId="55" fillId="0" borderId="50" applyAlignment="1" pivotButton="0" quotePrefix="0" xfId="0">
      <alignment horizontal="right" vertical="center"/>
    </xf>
    <xf numFmtId="0" fontId="54" fillId="10" borderId="16" pivotButton="0" quotePrefix="0" xfId="0"/>
    <xf numFmtId="0" fontId="54" fillId="10" borderId="36" pivotButton="0" quotePrefix="0" xfId="0"/>
    <xf numFmtId="164" fontId="5" fillId="0" borderId="39" applyAlignment="1" pivotButton="0" quotePrefix="0" xfId="8">
      <alignment horizontal="center" vertical="center"/>
    </xf>
    <xf numFmtId="0" fontId="61" fillId="2" borderId="0" applyAlignment="1" pivotButton="0" quotePrefix="0" xfId="0">
      <alignment horizontal="left" vertical="center" indent="1"/>
    </xf>
    <xf numFmtId="9" fontId="58" fillId="3" borderId="37" applyAlignment="1" pivotButton="0" quotePrefix="0" xfId="2">
      <alignment horizontal="center" vertical="center"/>
    </xf>
    <xf numFmtId="0" fontId="55" fillId="2" borderId="0" applyAlignment="1" pivotButton="0" quotePrefix="0" xfId="0">
      <alignment vertical="center"/>
    </xf>
    <xf numFmtId="14" fontId="4" fillId="0" borderId="50" applyAlignment="1" pivotButton="0" quotePrefix="0" xfId="0">
      <alignment vertical="center"/>
    </xf>
    <xf numFmtId="0" fontId="4" fillId="0" borderId="50" applyAlignment="1" pivotButton="0" quotePrefix="0" xfId="0">
      <alignment vertical="center"/>
    </xf>
    <xf numFmtId="0" fontId="4" fillId="0" borderId="50" pivotButton="0" quotePrefix="0" xfId="0"/>
    <xf numFmtId="0" fontId="62" fillId="8" borderId="15" pivotButton="0" quotePrefix="0" xfId="0"/>
    <xf numFmtId="9" fontId="62" fillId="8" borderId="33" pivotButton="0" quotePrefix="0" xfId="0"/>
    <xf numFmtId="0" fontId="64" fillId="0" borderId="50" applyAlignment="1" pivotButton="0" quotePrefix="0" xfId="0">
      <alignment horizontal="left" vertical="center"/>
    </xf>
    <xf numFmtId="0" fontId="65" fillId="0" borderId="50" applyAlignment="1" pivotButton="0" quotePrefix="0" xfId="0">
      <alignment vertical="center"/>
    </xf>
    <xf numFmtId="0" fontId="65" fillId="0" borderId="19" applyAlignment="1" pivotButton="0" quotePrefix="0" xfId="0">
      <alignment vertical="center"/>
    </xf>
    <xf numFmtId="0" fontId="65" fillId="0" borderId="9" applyAlignment="1" pivotButton="0" quotePrefix="0" xfId="0">
      <alignment vertical="center"/>
    </xf>
    <xf numFmtId="0" fontId="64" fillId="0" borderId="50" applyAlignment="1" pivotButton="0" quotePrefix="0" xfId="0">
      <alignment horizontal="center" vertical="center"/>
    </xf>
    <xf numFmtId="0" fontId="65" fillId="0" borderId="17" applyAlignment="1" pivotButton="0" quotePrefix="0" xfId="0">
      <alignment vertical="center"/>
    </xf>
    <xf numFmtId="0" fontId="65" fillId="0" borderId="4" applyAlignment="1" pivotButton="0" quotePrefix="0" xfId="0">
      <alignment vertical="center"/>
    </xf>
    <xf numFmtId="14" fontId="65" fillId="0" borderId="50" applyAlignment="1" pivotButton="0" quotePrefix="0" xfId="0">
      <alignment vertical="center"/>
    </xf>
    <xf numFmtId="0" fontId="65" fillId="0" borderId="50" pivotButton="0" quotePrefix="0" xfId="0"/>
    <xf numFmtId="0" fontId="65" fillId="0" borderId="0" pivotButton="0" quotePrefix="0" xfId="0"/>
    <xf numFmtId="0" fontId="4" fillId="10" borderId="5" applyAlignment="1" pivotButton="0" quotePrefix="0" xfId="10">
      <alignment horizontal="left" vertical="center" indent="2"/>
    </xf>
    <xf numFmtId="9" fontId="3" fillId="10" borderId="37" applyAlignment="1" pivotButton="0" quotePrefix="0" xfId="2">
      <alignment horizontal="center" vertical="center"/>
    </xf>
    <xf numFmtId="0" fontId="66" fillId="0" borderId="50" applyAlignment="1" pivotButton="0" quotePrefix="0" xfId="0">
      <alignment horizontal="left" vertical="center"/>
    </xf>
    <xf numFmtId="0" fontId="65" fillId="0" borderId="50" applyAlignment="1" pivotButton="0" quotePrefix="0" xfId="0">
      <alignment horizontal="center" vertical="center"/>
    </xf>
    <xf numFmtId="0" fontId="67" fillId="0" borderId="50" applyAlignment="1" pivotButton="0" quotePrefix="0" xfId="0">
      <alignment horizontal="center" vertical="center"/>
    </xf>
    <xf numFmtId="0" fontId="68" fillId="0" borderId="50" applyAlignment="1" pivotButton="0" quotePrefix="0" xfId="0">
      <alignment horizontal="left" vertical="center"/>
    </xf>
    <xf numFmtId="0" fontId="69" fillId="0" borderId="50" applyAlignment="1" pivotButton="0" quotePrefix="0" xfId="0">
      <alignment horizontal="center" vertical="center" shrinkToFit="1"/>
    </xf>
    <xf numFmtId="0" fontId="68" fillId="0" borderId="50" applyAlignment="1" pivotButton="0" quotePrefix="0" xfId="0">
      <alignment horizontal="left" vertical="center" shrinkToFit="1"/>
    </xf>
    <xf numFmtId="0" fontId="70" fillId="0" borderId="50" applyAlignment="1" pivotButton="0" quotePrefix="0" xfId="0">
      <alignment horizontal="left" vertical="center" shrinkToFit="1"/>
    </xf>
    <xf numFmtId="0" fontId="65" fillId="0" borderId="50" applyAlignment="1" pivotButton="0" quotePrefix="0" xfId="0">
      <alignment horizontal="right" vertical="center"/>
    </xf>
    <xf numFmtId="0" fontId="63" fillId="2" borderId="0" applyAlignment="1" pivotButton="0" quotePrefix="0" xfId="0">
      <alignment horizontal="left" vertical="center" indent="1"/>
    </xf>
    <xf numFmtId="9" fontId="3" fillId="3" borderId="37" applyAlignment="1" pivotButton="0" quotePrefix="0" xfId="2">
      <alignment horizontal="center" vertical="center"/>
    </xf>
    <xf numFmtId="0" fontId="65" fillId="2" borderId="0" applyAlignment="1" pivotButton="0" quotePrefix="0" xfId="0">
      <alignment vertical="center"/>
    </xf>
    <xf numFmtId="14" fontId="71" fillId="0" borderId="50" applyAlignment="1" pivotButton="0" quotePrefix="0" xfId="0">
      <alignment vertical="center"/>
    </xf>
    <xf numFmtId="0" fontId="71" fillId="0" borderId="50" applyAlignment="1" pivotButton="0" quotePrefix="0" xfId="0">
      <alignment vertical="center"/>
    </xf>
    <xf numFmtId="0" fontId="71" fillId="0" borderId="50" pivotButton="0" quotePrefix="0" xfId="0"/>
    <xf numFmtId="0" fontId="71" fillId="0" borderId="0" pivotButton="0" quotePrefix="0" xfId="0"/>
    <xf numFmtId="0" fontId="71" fillId="0" borderId="19" applyAlignment="1" pivotButton="0" quotePrefix="0" xfId="0">
      <alignment vertical="center"/>
    </xf>
    <xf numFmtId="0" fontId="71" fillId="0" borderId="9" applyAlignment="1" pivotButton="0" quotePrefix="0" xfId="0">
      <alignment vertical="center"/>
    </xf>
    <xf numFmtId="0" fontId="68" fillId="0" borderId="50" applyAlignment="1" pivotButton="0" quotePrefix="0" xfId="0">
      <alignment horizontal="center" vertical="center"/>
    </xf>
    <xf numFmtId="0" fontId="71" fillId="0" borderId="17" applyAlignment="1" pivotButton="0" quotePrefix="0" xfId="0">
      <alignment vertical="center"/>
    </xf>
    <xf numFmtId="0" fontId="71" fillId="0" borderId="4" applyAlignment="1" pivotButton="0" quotePrefix="0" xfId="0">
      <alignment vertical="center"/>
    </xf>
    <xf numFmtId="0" fontId="71" fillId="0" borderId="50" applyAlignment="1" pivotButton="0" quotePrefix="0" xfId="0">
      <alignment horizontal="center" vertical="center"/>
    </xf>
    <xf numFmtId="0" fontId="72" fillId="0" borderId="50" applyAlignment="1" pivotButton="0" quotePrefix="0" xfId="0">
      <alignment horizontal="center" vertical="center"/>
    </xf>
    <xf numFmtId="0" fontId="71" fillId="0" borderId="50" applyAlignment="1" pivotButton="0" quotePrefix="0" xfId="0">
      <alignment horizontal="right" vertical="center"/>
    </xf>
    <xf numFmtId="0" fontId="71" fillId="2" borderId="0" applyAlignment="1" pivotButton="0" quotePrefix="0" xfId="0">
      <alignment vertical="center"/>
    </xf>
  </cellXfs>
  <cellStyles count="11">
    <cellStyle name="Normal" xfId="0" builtinId="0"/>
    <cellStyle name="Hyperlink" xfId="1" builtinId="8"/>
    <cellStyle name="Per cent" xfId="2" builtinId="5"/>
    <cellStyle name="zHiddenText" xfId="3"/>
    <cellStyle name="Title" xfId="4" builtinId="15"/>
    <cellStyle name="Heading 1" xfId="5" builtinId="16"/>
    <cellStyle name="Heading 3" xfId="6" builtinId="18"/>
    <cellStyle name="Project Start" xfId="7"/>
    <cellStyle name="Date" xfId="8"/>
    <cellStyle name="Name" xfId="9"/>
    <cellStyle name="Task" xfId="10"/>
  </cellStyles>
  <dxfs count="15">
    <dxf>
      <border>
        <left style="thin">
          <color theme="0" tint="-0.249946592608417"/>
        </left>
      </border>
    </dxf>
    <dxf>
      <border>
        <left style="thin">
          <color theme="0" tint="-0.249946592608417"/>
        </left>
      </border>
    </dxf>
    <dxf>
      <border>
        <top style="thin">
          <color theme="4" tint="0.3999450666829432"/>
        </top>
      </border>
    </dxf>
    <dxf>
      <fill>
        <patternFill>
          <bgColor theme="0" tint="-0.0499893185216834"/>
        </patternFill>
      </fill>
      <border>
        <top style="thin">
          <color theme="4" tint="0.3999450666829432"/>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solid">
          <bgColor rgb="FFC1A9FC"/>
        </patternFill>
      </fill>
    </dxf>
    <dxf>
      <fill>
        <patternFill patternType="solid">
          <bgColor rgb="FFE0D3FE"/>
        </patternFill>
      </fill>
    </dxf>
    <dxf>
      <fill>
        <patternFill patternType="solid">
          <bgColor rgb="FFFF88E4"/>
        </patternFill>
      </fill>
    </dxf>
    <dxf>
      <fill>
        <patternFill patternType="solid">
          <bgColor rgb="FFFFD6F2"/>
        </patternFill>
      </fill>
    </dxf>
    <dxf>
      <fill>
        <patternFill patternType="solid">
          <bgColor rgb="FFFF66CC"/>
        </patternFill>
      </fill>
    </dxf>
    <dxf>
      <fill>
        <patternFill patternType="solid">
          <bgColor rgb="FFFFC2E8"/>
        </patternFill>
      </fill>
    </dxf>
  </dxfs>
  <tableStyles count="1" defaultTableStyle="TableStyleMedium2" defaultPivotStyle="PivotStyleLight16">
    <tableStyle name="ToDoList" pivot="0" count="9">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68</col>
      <colOff>596900</colOff>
      <row>18</row>
      <rowOff>361950</rowOff>
    </from>
    <to>
      <col>70</col>
      <colOff>549767</colOff>
      <row>19</row>
      <rowOff>273583</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408150" y="7029450"/>
          <a:ext cx="1286367" cy="29263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95250</rowOff>
    </from>
    <to>
      <col>0</col>
      <colOff>1905000</colOff>
      <row>0</row>
      <rowOff>523875</rowOff>
    </to>
    <pic>
      <nvPicPr>
        <cNvPr id="2" name="Picture 1" descr="Vertex42 logo">
          <a:hlinkClick xmlns:a="http://schemas.openxmlformats.org/drawingml/2006/main" xmlns:r="http://schemas.openxmlformats.org/officeDocument/2006/relationships" r:id=""/>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 y="95250"/>
          <a:ext cx="1905000" cy="4286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www.vertex42.com/ExcelTemplates/simple-gantt-chart.html?utm_source=ms&amp;utm_medium=file&amp;utm_campaign=office&amp;utm_content=text" TargetMode="External" Id="rId1"/><Relationship Type="http://schemas.openxmlformats.org/officeDocument/2006/relationships/hyperlink" Target="https://www.vertex42.com/ExcelTemplates/simple-gantt-chart.html?utm_source=ms&amp;utm_medium=file&amp;utm_campaign=office&amp;utm_content=help" TargetMode="External" Id="rId2"/><Relationship Type="http://schemas.openxmlformats.org/officeDocument/2006/relationships/hyperlink" Target="https://www.vertex42.com/ExcelTemplates/excel-project-management.html?utm_source=ms&amp;utm_medium=file&amp;utm_campaign=office&amp;utm_content=text" TargetMode="External" Id="rId3"/><Relationship Type="http://schemas.openxmlformats.org/officeDocument/2006/relationships/drawing" Target="/xl/drawings/drawing2.xml" Id="rId4"/></Relationships>
</file>

<file path=xl/worksheets/sheet1.xml><?xml version="1.0" encoding="utf-8"?>
<worksheet xmlns="http://schemas.openxmlformats.org/spreadsheetml/2006/main">
  <sheetPr codeName="Sheet1">
    <outlinePr summaryBelow="1" summaryRight="1"/>
    <pageSetUpPr fitToPage="1"/>
  </sheetPr>
  <dimension ref="A1:CA27"/>
  <sheetViews>
    <sheetView showGridLines="0" tabSelected="1" showRuler="0" topLeftCell="H15" zoomScaleNormal="100" zoomScalePageLayoutView="70" workbookViewId="0">
      <selection activeCell="BQ18" sqref="BQ18"/>
    </sheetView>
  </sheetViews>
  <sheetFormatPr baseColWidth="8" defaultColWidth="8.75" defaultRowHeight="30" customHeight="1"/>
  <cols>
    <col width="2.75" customWidth="1" style="130" min="1" max="1"/>
    <col width="36" customWidth="1" style="127" min="2" max="2"/>
    <col hidden="1" width="10.75" customWidth="1" style="127" min="3" max="3"/>
    <col hidden="1" width="10.75" customWidth="1" style="44" min="4" max="4"/>
    <col hidden="1" width="10.75" customWidth="1" style="49" min="5" max="5"/>
    <col hidden="1" width="2.75" customWidth="1" style="127" min="6" max="6"/>
    <col hidden="1" width="6" customWidth="1" style="127" min="7" max="7"/>
    <col width="2.38" customWidth="1" style="127" min="8" max="56"/>
    <col width="2.38" customWidth="1" style="127" min="9" max="9"/>
    <col width="2.38" customWidth="1" style="127" min="10" max="10"/>
    <col width="2.38" customWidth="1" style="127" min="11" max="11"/>
    <col width="2.38" customWidth="1" style="127" min="12" max="12"/>
    <col width="2.38" customWidth="1" style="127" min="13" max="13"/>
    <col width="2.38" customWidth="1" style="127" min="14" max="14"/>
    <col width="2.38" customWidth="1" style="127" min="15" max="15"/>
    <col width="2.38" customWidth="1" style="127" min="16" max="16"/>
    <col width="2.38" customWidth="1" style="127" min="17" max="17"/>
    <col width="2.38" customWidth="1" style="127" min="18" max="18"/>
    <col width="2.38" customWidth="1" style="127" min="19" max="19"/>
    <col width="2.38" customWidth="1" style="127" min="20" max="20"/>
    <col width="2.38" customWidth="1" style="127" min="21" max="21"/>
    <col width="2.38" customWidth="1" style="127" min="22" max="22"/>
    <col width="2.38" customWidth="1" style="127" min="23" max="23"/>
    <col width="2.38" customWidth="1" style="127" min="24" max="24"/>
    <col width="2.38" customWidth="1" style="127" min="25" max="25"/>
    <col width="2.38" customWidth="1" style="127" min="26" max="26"/>
    <col width="2.38" customWidth="1" style="127" min="27" max="27"/>
    <col width="2.38" customWidth="1" style="127" min="28" max="28"/>
    <col width="2.38" customWidth="1" style="127" min="29" max="29"/>
    <col width="2.38" customWidth="1" style="127" min="30" max="30"/>
    <col width="2.38" customWidth="1" style="127" min="31" max="31"/>
    <col width="2.38" customWidth="1" style="127" min="32" max="32"/>
    <col width="2.38" customWidth="1" style="127" min="33" max="33"/>
    <col width="2.38" customWidth="1" style="127" min="34" max="34"/>
    <col width="2.38" customWidth="1" style="127" min="35" max="35"/>
    <col width="2.38" customWidth="1" style="127" min="36" max="36"/>
    <col width="2.38" customWidth="1" style="127" min="37" max="37"/>
    <col width="2.38" customWidth="1" style="127" min="38" max="38"/>
    <col width="2.38" customWidth="1" style="127" min="39" max="39"/>
    <col width="2.38" customWidth="1" style="127" min="40" max="40"/>
    <col width="2.38" customWidth="1" style="127" min="41" max="41"/>
    <col width="2.38" customWidth="1" style="127" min="42" max="42"/>
    <col width="2.38" customWidth="1" style="127" min="43" max="43"/>
    <col width="2.38" customWidth="1" style="127" min="44" max="44"/>
    <col width="2.38" customWidth="1" style="127" min="45" max="45"/>
    <col width="2.38" customWidth="1" style="127" min="46" max="46"/>
    <col width="2.38" customWidth="1" style="127" min="47" max="47"/>
    <col width="2.38" customWidth="1" style="127" min="48" max="48"/>
    <col width="2.38" customWidth="1" style="127" min="49" max="49"/>
    <col width="2.38" customWidth="1" style="127" min="50" max="50"/>
    <col width="2.38" customWidth="1" style="127" min="51" max="51"/>
    <col width="2.38" customWidth="1" style="127" min="52" max="52"/>
    <col width="2.38" customWidth="1" style="127" min="53" max="53"/>
    <col width="2.38" customWidth="1" style="127" min="54" max="54"/>
    <col width="2.38" customWidth="1" style="127" min="55" max="55"/>
    <col width="2.38" customWidth="1" style="127" min="56" max="56"/>
    <col width="2.38" customWidth="1" style="127" min="57" max="57"/>
    <col width="2.38" customWidth="1" style="127" min="58" max="64"/>
    <col hidden="1" width="13" customWidth="1" style="127" min="59" max="59"/>
    <col hidden="1" width="13" customWidth="1" style="127" min="60" max="60"/>
    <col hidden="1" width="13" customWidth="1" style="127" min="61" max="61"/>
    <col hidden="1" width="13" customWidth="1" style="127" min="62" max="62"/>
    <col hidden="1" width="13" customWidth="1" style="127" min="63" max="63"/>
    <col hidden="1" width="13" customWidth="1" style="127" min="64" max="64"/>
    <col hidden="1" width="3" customWidth="1" style="127" min="65" max="67"/>
    <col hidden="1" width="3.33203125" customWidth="1" style="127" min="66" max="66"/>
    <col hidden="1" width="3.5" customWidth="1" style="127" min="67" max="67"/>
    <col hidden="1" width="13" customWidth="1" style="127" min="68" max="68"/>
    <col width="13" customWidth="1" style="127" min="69" max="69"/>
    <col width="13" customWidth="1" style="127" min="70" max="70"/>
    <col width="13" customWidth="1" style="127" min="71" max="71"/>
    <col width="13" customWidth="1" style="127" min="72" max="72"/>
    <col width="13" customWidth="1" style="127" min="73" max="73"/>
    <col width="13" customWidth="1" style="127" min="74" max="74"/>
    <col width="13" customWidth="1" style="127" min="75" max="75"/>
    <col width="13" customWidth="1" style="127" min="76" max="76"/>
    <col width="13" customWidth="1" style="127" min="77" max="77"/>
    <col width="13" customWidth="1" style="127" min="78" max="78"/>
    <col width="13" customWidth="1" style="127" min="79" max="79"/>
    <col width="13" customWidth="1" style="127" min="80" max="80"/>
    <col width="13" customWidth="1" style="127" min="81" max="81"/>
    <col width="13" customWidth="1" style="127" min="82" max="82"/>
    <col width="13" customWidth="1" style="127" min="83" max="83"/>
    <col width="13" customWidth="1" style="127" min="84" max="84"/>
    <col width="13" customWidth="1" style="127" min="85" max="85"/>
    <col width="13" customWidth="1" style="127" min="86" max="86"/>
    <col width="13" customWidth="1" style="127" min="87" max="87"/>
    <col width="13" customWidth="1" style="127" min="88" max="88"/>
    <col width="13" customWidth="1" style="127" min="89" max="89"/>
    <col width="13" customWidth="1" style="127" min="90" max="90"/>
    <col width="13" customWidth="1" style="127" min="91" max="91"/>
    <col width="13" customWidth="1" style="127" min="92" max="92"/>
    <col width="13" customWidth="1" style="127" min="93" max="93"/>
    <col width="13" customWidth="1" style="127" min="94" max="94"/>
    <col width="13" customWidth="1" style="127" min="95" max="95"/>
    <col width="13" customWidth="1" style="127" min="96" max="96"/>
    <col width="13" customWidth="1" style="127" min="97" max="97"/>
    <col width="13" customWidth="1" style="127" min="98" max="98"/>
    <col width="13" customWidth="1" style="127" min="99" max="99"/>
    <col width="13" customWidth="1" style="127" min="100" max="100"/>
    <col width="13" customWidth="1" style="127" min="101" max="101"/>
    <col width="13" customWidth="1" style="127" min="102" max="102"/>
    <col width="13" customWidth="1" style="127" min="103" max="103"/>
    <col width="13" customWidth="1" style="127" min="104" max="104"/>
    <col width="13" customWidth="1" style="127" min="105" max="105"/>
    <col width="13" customWidth="1" style="127" min="106" max="106"/>
    <col width="13" customWidth="1" style="127" min="107" max="107"/>
    <col width="13" customWidth="1" style="127" min="108" max="108"/>
    <col width="13" customWidth="1" style="127" min="109" max="109"/>
    <col width="13" customWidth="1" style="127" min="110" max="110"/>
    <col width="13" customWidth="1" style="127" min="111" max="111"/>
    <col width="13" customWidth="1" style="127" min="112" max="112"/>
    <col width="13" customWidth="1" style="127" min="113" max="113"/>
    <col width="13" customWidth="1" style="127" min="114" max="114"/>
    <col width="13" customWidth="1" style="127" min="115" max="115"/>
    <col width="13" customWidth="1" style="127" min="116" max="116"/>
    <col width="13" customWidth="1" style="127" min="117" max="117"/>
    <col width="13" customWidth="1" style="127" min="118" max="118"/>
    <col width="13" customWidth="1" style="127" min="119" max="119"/>
    <col width="13" customWidth="1" style="127" min="120" max="120"/>
    <col width="13" customWidth="1" style="127" min="121" max="121"/>
    <col width="13" customWidth="1" style="127" min="122" max="122"/>
    <col width="13" customWidth="1" style="127" min="123" max="123"/>
    <col width="13" customWidth="1" style="127" min="124" max="124"/>
    <col width="13" customWidth="1" style="127" min="125" max="125"/>
    <col width="13" customWidth="1" style="127" min="126" max="126"/>
    <col width="13" customWidth="1" style="127" min="127" max="127"/>
    <col width="13" customWidth="1" style="127" min="128" max="128"/>
    <col width="13" customWidth="1" style="127" min="129" max="129"/>
    <col width="13" customWidth="1" style="127" min="130" max="130"/>
    <col width="13" customWidth="1" style="127" min="131" max="131"/>
    <col width="13" customWidth="1" style="127" min="132" max="132"/>
    <col width="13" customWidth="1" style="127" min="133" max="133"/>
    <col width="13" customWidth="1" style="127" min="134" max="134"/>
    <col width="13" customWidth="1" style="127" min="135" max="135"/>
    <col width="13" customWidth="1" style="127" min="136" max="136"/>
    <col width="13" customWidth="1" style="127" min="137" max="137"/>
    <col width="13" customWidth="1" style="127" min="138" max="138"/>
    <col width="13" customWidth="1" style="127" min="139" max="139"/>
    <col width="13" customWidth="1" style="127" min="140" max="140"/>
    <col width="13" customWidth="1" style="127" min="141" max="141"/>
    <col width="13" customWidth="1" style="127" min="142" max="142"/>
    <col width="13" customWidth="1" style="127" min="143" max="143"/>
    <col width="13" customWidth="1" style="127" min="144" max="144"/>
    <col width="13" customWidth="1" style="127" min="145" max="145"/>
    <col width="13" customWidth="1" style="127" min="146" max="146"/>
    <col width="13" customWidth="1" style="127" min="147" max="147"/>
    <col width="13" customWidth="1" style="127" min="148" max="148"/>
    <col width="13" customWidth="1" style="127" min="149" max="149"/>
    <col width="13" customWidth="1" style="127" min="150" max="150"/>
    <col width="13" customWidth="1" style="127" min="151" max="151"/>
    <col width="13" customWidth="1" style="127" min="152" max="152"/>
    <col width="13" customWidth="1" style="127" min="153" max="153"/>
    <col width="13" customWidth="1" style="127" min="154" max="154"/>
    <col width="13" customWidth="1" style="127" min="155" max="155"/>
    <col width="13" customWidth="1" style="127" min="156" max="156"/>
    <col width="13" customWidth="1" style="127" min="157" max="157"/>
    <col width="13" customWidth="1" style="127" min="158" max="158"/>
    <col width="13" customWidth="1" style="127" min="159" max="159"/>
    <col width="13" customWidth="1" style="127" min="160" max="160"/>
    <col width="13" customWidth="1" style="127" min="161" max="161"/>
    <col width="13" customWidth="1" style="127" min="162" max="162"/>
    <col width="13" customWidth="1" style="127" min="163" max="163"/>
    <col width="13" customWidth="1" style="127" min="164" max="164"/>
    <col width="13" customWidth="1" style="127" min="165" max="165"/>
    <col width="13" customWidth="1" style="127" min="166" max="166"/>
    <col width="13" customWidth="1" style="127" min="167" max="167"/>
    <col width="13" customWidth="1" style="127" min="168" max="168"/>
    <col width="13" customWidth="1" style="127" min="169" max="169"/>
    <col width="13" customWidth="1" style="127" min="170" max="170"/>
    <col width="13" customWidth="1" style="127" min="171" max="171"/>
    <col width="13" customWidth="1" style="127" min="172" max="172"/>
    <col width="13" customWidth="1" style="127" min="173" max="173"/>
    <col width="13" customWidth="1" style="127" min="174" max="174"/>
    <col width="13" customWidth="1" style="127" min="175" max="175"/>
    <col width="13" customWidth="1" style="127" min="176" max="176"/>
    <col width="13" customWidth="1" style="127" min="177" max="177"/>
    <col width="13" customWidth="1" style="127" min="178" max="178"/>
    <col width="13" customWidth="1" style="127" min="179" max="179"/>
    <col width="13" customWidth="1" style="127" min="180" max="180"/>
    <col width="13" customWidth="1" style="127" min="181" max="181"/>
    <col width="13" customWidth="1" style="127" min="182" max="182"/>
    <col width="13" customWidth="1" style="127" min="183" max="183"/>
    <col width="13" customWidth="1" style="127" min="184" max="184"/>
    <col width="13" customWidth="1" style="127" min="185" max="185"/>
    <col width="13" customWidth="1" style="127" min="186" max="186"/>
    <col width="13" customWidth="1" style="127" min="187" max="187"/>
    <col width="13" customWidth="1" style="127" min="188" max="188"/>
    <col width="13" customWidth="1" style="127" min="189" max="189"/>
    <col width="13" customWidth="1" style="127" min="190" max="190"/>
    <col width="13" customWidth="1" style="127" min="191" max="191"/>
    <col width="13" customWidth="1" style="127" min="192" max="192"/>
    <col width="13" customWidth="1" style="127" min="193" max="193"/>
    <col width="13" customWidth="1" style="127" min="194" max="194"/>
    <col width="13" customWidth="1" style="127" min="195" max="195"/>
    <col width="13" customWidth="1" style="127" min="196" max="196"/>
    <col width="13" customWidth="1" style="127" min="197" max="197"/>
    <col width="13" customWidth="1" style="127" min="198" max="198"/>
    <col width="13" customWidth="1" style="127" min="199" max="199"/>
    <col width="13" customWidth="1" style="127" min="200" max="200"/>
  </cols>
  <sheetData>
    <row r="1" ht="90" customHeight="1" s="127">
      <c r="A1" s="32" t="n">
        <v>44829</v>
      </c>
      <c r="B1" s="24" t="inlineStr">
        <is>
          <t>Europa project</t>
        </is>
      </c>
      <c r="C1" s="14" t="n"/>
      <c r="D1" s="40" t="n"/>
      <c r="E1" s="45" t="n"/>
      <c r="G1" s="1" t="n"/>
      <c r="H1" s="126" t="inlineStr">
        <is>
          <t>Project start:</t>
        </is>
      </c>
      <c r="O1" s="16" t="n"/>
      <c r="P1" s="128" t="n">
        <v>44830</v>
      </c>
    </row>
    <row r="2" ht="30" customHeight="1" s="127">
      <c r="B2" s="23" t="inlineStr">
        <is>
          <t>VanArsdel, Ltd.</t>
        </is>
      </c>
      <c r="C2" s="15" t="n"/>
      <c r="D2" s="41" t="n"/>
      <c r="E2" s="46" t="n"/>
      <c r="H2" s="126" t="n"/>
      <c r="O2" s="16" t="n"/>
      <c r="P2" s="131" t="n"/>
      <c r="BP2" s="69" t="n"/>
    </row>
    <row r="3" ht="30" customFormat="1" customHeight="1" s="18">
      <c r="A3" s="130" t="n"/>
      <c r="B3" s="17" t="n"/>
      <c r="C3" s="19" t="n"/>
      <c r="D3" s="42" t="n"/>
      <c r="E3" s="47" t="n"/>
      <c r="H3" s="36" t="n"/>
      <c r="I3" s="37" t="n"/>
      <c r="J3" s="37" t="n"/>
      <c r="K3" s="37" t="n"/>
      <c r="L3" s="37" t="n"/>
      <c r="M3" s="37" t="n"/>
      <c r="N3" s="37" t="n"/>
      <c r="O3" s="37" t="n"/>
      <c r="P3" s="37" t="n"/>
      <c r="Q3" s="37" t="n"/>
      <c r="R3" s="37" t="n"/>
      <c r="S3" s="37" t="n"/>
      <c r="T3" s="37" t="n"/>
      <c r="U3" s="37" t="n"/>
      <c r="V3" s="37" t="n"/>
      <c r="W3" s="37" t="n"/>
      <c r="X3" s="37" t="n"/>
      <c r="Y3" s="37" t="n"/>
      <c r="Z3" s="37" t="n"/>
      <c r="AA3" s="37" t="n"/>
      <c r="AB3" s="37" t="n"/>
      <c r="AC3" s="37" t="n"/>
      <c r="AD3" s="37" t="n"/>
      <c r="AE3" s="38" t="n"/>
    </row>
    <row r="4" ht="20" customHeight="1" s="127" thickBot="1" thickTop="1">
      <c r="A4" s="129" t="n"/>
      <c r="B4" s="20" t="n"/>
      <c r="C4" s="88" t="inlineStr">
        <is>
          <t>Thesis Progress</t>
        </is>
      </c>
      <c r="D4" s="70" t="n"/>
      <c r="E4" s="71" t="n"/>
      <c r="F4" s="101" t="inlineStr">
        <is>
          <t>Legend</t>
        </is>
      </c>
      <c r="G4" s="72" t="n"/>
      <c r="H4" s="152">
        <f>IF(MONTH(H6)=9, YEAR(H6), "")</f>
        <v/>
      </c>
      <c r="L4" s="152">
        <f>IF(MONTH(T6)=9, YEAR(T6), "")</f>
        <v/>
      </c>
      <c r="X4" s="152">
        <f>IF(MONTH(AF6)=9, YEAR(AF6), "")</f>
        <v/>
      </c>
      <c r="AJ4" s="152">
        <f>IF(MONTH(AR6)=9, YEAR(AR6), "")</f>
        <v/>
      </c>
      <c r="AV4" s="171" t="n"/>
      <c r="BG4" s="153" t="n"/>
      <c r="BH4" s="172" t="n"/>
      <c r="BI4" s="172" t="n"/>
      <c r="BJ4" s="172" t="n"/>
      <c r="BK4" s="172" t="n"/>
      <c r="BL4" s="172" t="n"/>
      <c r="BM4" s="172" t="n"/>
      <c r="BN4" s="172" t="n"/>
      <c r="BO4" s="172" t="n"/>
      <c r="BP4" s="153" t="n"/>
      <c r="BQ4" s="153" t="n"/>
      <c r="BR4" s="153" t="n"/>
      <c r="BS4" s="153" t="n"/>
      <c r="BT4" s="153" t="n"/>
      <c r="BU4" s="153" t="n"/>
      <c r="BV4" s="153" t="n"/>
      <c r="BW4" s="153" t="n"/>
      <c r="BX4" s="153" t="n"/>
      <c r="BY4" s="153" t="n"/>
      <c r="BZ4" s="153" t="n"/>
      <c r="CA4" s="153" t="n"/>
    </row>
    <row r="5" ht="14" customHeight="1" s="127" thickBot="1">
      <c r="A5" s="129" t="n"/>
      <c r="B5" s="121" t="inlineStr">
        <is>
          <t>TASK</t>
        </is>
      </c>
      <c r="C5" s="121" t="inlineStr">
        <is>
          <t>PROGRESS</t>
        </is>
      </c>
      <c r="D5" s="121" t="inlineStr">
        <is>
          <t>START</t>
        </is>
      </c>
      <c r="E5" s="121" t="inlineStr">
        <is>
          <t>END</t>
        </is>
      </c>
      <c r="F5" t="inlineStr">
        <is>
          <t>Completed (dark)</t>
        </is>
      </c>
      <c r="G5" s="102" t="n"/>
      <c r="H5" s="154">
        <f>LEFT(TEXT(EDATE(Project_Start, COLUMNS($H5:H5)-1), "mmm"), 1)</f>
        <v/>
      </c>
      <c r="I5" s="154">
        <f>LEFT(TEXT(EDATE(Project_Start, COLUMNS($H5:I5)-1), "mmm"), 1)</f>
        <v/>
      </c>
      <c r="J5" s="154">
        <f>LEFT(TEXT(EDATE(Project_Start, COLUMNS($H5:J5)-1), "mmm"), 1)</f>
        <v/>
      </c>
      <c r="K5" s="154">
        <f>LEFT(TEXT(EDATE(Project_Start, COLUMNS($H5:K5)-1), "mmm"), 1)</f>
        <v/>
      </c>
      <c r="L5" s="154">
        <f>LEFT(TEXT(EDATE(Project_Start, COLUMNS($H5:L5)-1), "mmm"), 1)</f>
        <v/>
      </c>
      <c r="M5" s="154">
        <f>LEFT(TEXT(EDATE(Project_Start, COLUMNS($H5:M5)-1), "mmm"), 1)</f>
        <v/>
      </c>
      <c r="N5" s="154">
        <f>LEFT(TEXT(EDATE(Project_Start, COLUMNS($H5:N5)-1), "mmm"), 1)</f>
        <v/>
      </c>
      <c r="O5" s="154">
        <f>LEFT(TEXT(EDATE(Project_Start, COLUMNS($H5:O5)-1), "mmm"), 1)</f>
        <v/>
      </c>
      <c r="P5" s="154">
        <f>LEFT(TEXT(EDATE(Project_Start, COLUMNS($H5:P5)-1), "mmm"), 1)</f>
        <v/>
      </c>
      <c r="Q5" s="154">
        <f>LEFT(TEXT(EDATE(Project_Start, COLUMNS($H5:Q5)-1), "mmm"), 1)</f>
        <v/>
      </c>
      <c r="R5" s="154">
        <f>LEFT(TEXT(EDATE(Project_Start, COLUMNS($H5:R5)-1), "mmm"), 1)</f>
        <v/>
      </c>
      <c r="S5" s="154">
        <f>LEFT(TEXT(EDATE(Project_Start, COLUMNS($H5:S5)-1), "mmm"), 1)</f>
        <v/>
      </c>
      <c r="T5" s="154">
        <f>LEFT(TEXT(EDATE(Project_Start, COLUMNS($H5:T5)-1), "mmm"), 1)</f>
        <v/>
      </c>
      <c r="U5" s="154">
        <f>LEFT(TEXT(EDATE(Project_Start, COLUMNS($H5:U5)-1), "mmm"), 1)</f>
        <v/>
      </c>
      <c r="V5" s="154">
        <f>LEFT(TEXT(EDATE(Project_Start, COLUMNS($H5:V5)-1), "mmm"), 1)</f>
        <v/>
      </c>
      <c r="W5" s="154">
        <f>LEFT(TEXT(EDATE(Project_Start, COLUMNS($H5:W5)-1), "mmm"), 1)</f>
        <v/>
      </c>
      <c r="X5" s="154">
        <f>LEFT(TEXT(EDATE(Project_Start, COLUMNS($H5:X5)-1), "mmm"), 1)</f>
        <v/>
      </c>
      <c r="Y5" s="154">
        <f>LEFT(TEXT(EDATE(Project_Start, COLUMNS($H5:Y5)-1), "mmm"), 1)</f>
        <v/>
      </c>
      <c r="Z5" s="154">
        <f>LEFT(TEXT(EDATE(Project_Start, COLUMNS($H5:Z5)-1), "mmm"), 1)</f>
        <v/>
      </c>
      <c r="AA5" s="154">
        <f>LEFT(TEXT(EDATE(Project_Start, COLUMNS($H5:AA5)-1), "mmm"), 1)</f>
        <v/>
      </c>
      <c r="AB5" s="154">
        <f>LEFT(TEXT(EDATE(Project_Start, COLUMNS($H5:AB5)-1), "mmm"), 1)</f>
        <v/>
      </c>
      <c r="AC5" s="154">
        <f>LEFT(TEXT(EDATE(Project_Start, COLUMNS($H5:AC5)-1), "mmm"), 1)</f>
        <v/>
      </c>
      <c r="AD5" s="154">
        <f>LEFT(TEXT(EDATE(Project_Start, COLUMNS($H5:AD5)-1), "mmm"), 1)</f>
        <v/>
      </c>
      <c r="AE5" s="154">
        <f>LEFT(TEXT(EDATE(Project_Start, COLUMNS($H5:AE5)-1), "mmm"), 1)</f>
        <v/>
      </c>
      <c r="AF5" s="154">
        <f>LEFT(TEXT(EDATE(Project_Start, COLUMNS($H5:AF5)-1), "mmm"), 1)</f>
        <v/>
      </c>
      <c r="AG5" s="154">
        <f>LEFT(TEXT(EDATE(Project_Start, COLUMNS($H5:AG5)-1), "mmm"), 1)</f>
        <v/>
      </c>
      <c r="AH5" s="154">
        <f>LEFT(TEXT(EDATE(Project_Start, COLUMNS($H5:AH5)-1), "mmm"), 1)</f>
        <v/>
      </c>
      <c r="AI5" s="154">
        <f>LEFT(TEXT(EDATE(Project_Start, COLUMNS($H5:AI5)-1), "mmm"), 1)</f>
        <v/>
      </c>
      <c r="AJ5" s="154">
        <f>LEFT(TEXT(EDATE(Project_Start, COLUMNS($H5:AJ5)-1), "mmm"), 1)</f>
        <v/>
      </c>
      <c r="AK5" s="154">
        <f>LEFT(TEXT(EDATE(Project_Start, COLUMNS($H5:AK5)-1), "mmm"), 1)</f>
        <v/>
      </c>
      <c r="AL5" s="154">
        <f>LEFT(TEXT(EDATE(Project_Start, COLUMNS($H5:AL5)-1), "mmm"), 1)</f>
        <v/>
      </c>
      <c r="AM5" s="154">
        <f>LEFT(TEXT(EDATE(Project_Start, COLUMNS($H5:AM5)-1), "mmm"), 1)</f>
        <v/>
      </c>
      <c r="AN5" s="154">
        <f>LEFT(TEXT(EDATE(Project_Start, COLUMNS($H5:AN5)-1), "mmm"), 1)</f>
        <v/>
      </c>
      <c r="AO5" s="154">
        <f>LEFT(TEXT(EDATE(Project_Start, COLUMNS($H5:AO5)-1), "mmm"), 1)</f>
        <v/>
      </c>
      <c r="AP5" s="154">
        <f>LEFT(TEXT(EDATE(Project_Start, COLUMNS($H5:AP5)-1), "mmm"), 1)</f>
        <v/>
      </c>
      <c r="AQ5" s="154">
        <f>LEFT(TEXT(EDATE(Project_Start, COLUMNS($H5:AQ5)-1), "mmm"), 1)</f>
        <v/>
      </c>
      <c r="AR5" s="154">
        <f>LEFT(TEXT(EDATE(Project_Start, COLUMNS($H5:AR5)-1), "mmm"), 1)</f>
        <v/>
      </c>
      <c r="AS5" s="154">
        <f>LEFT(TEXT(EDATE(Project_Start, COLUMNS($H5:AS5)-1), "mmm"), 1)</f>
        <v/>
      </c>
      <c r="AT5" s="154">
        <f>LEFT(TEXT(EDATE(Project_Start, COLUMNS($H5:AT5)-1), "mmm"), 1)</f>
        <v/>
      </c>
      <c r="AU5" s="154">
        <f>LEFT(TEXT(EDATE(Project_Start, COLUMNS($H5:AU5)-1), "mmm"), 1)</f>
        <v/>
      </c>
      <c r="AV5" s="154">
        <f>LEFT(TEXT(EDATE(Project_Start, COLUMNS($H5:AV5)-1), "mmm"), 1)</f>
        <v/>
      </c>
      <c r="AW5" s="154">
        <f>LEFT(TEXT(EDATE(Project_Start, COLUMNS($H5:AW5)-1), "mmm"), 1)</f>
        <v/>
      </c>
      <c r="AX5" s="154">
        <f>LEFT(TEXT(EDATE(Project_Start, COLUMNS($H5:AX5)-1), "mmm"), 1)</f>
        <v/>
      </c>
      <c r="AY5" s="154">
        <f>LEFT(TEXT(EDATE(Project_Start, COLUMNS($H5:AY5)-1), "mmm"), 1)</f>
        <v/>
      </c>
      <c r="AZ5" s="154">
        <f>LEFT(TEXT(EDATE(Project_Start, COLUMNS($H5:AZ5)-1), "mmm"), 1)</f>
        <v/>
      </c>
      <c r="BA5" s="154">
        <f>LEFT(TEXT(EDATE(Project_Start, COLUMNS($H5:BA5)-1), "mmm"), 1)</f>
        <v/>
      </c>
      <c r="BB5" s="154">
        <f>LEFT(TEXT(EDATE(Project_Start, COLUMNS($H5:BB5)-1), "mmm"), 1)</f>
        <v/>
      </c>
      <c r="BC5" s="154">
        <f>LEFT(TEXT(EDATE(Project_Start, COLUMNS($H5:BC5)-1), "mmm"), 1)</f>
        <v/>
      </c>
      <c r="BD5" s="154" t="inlineStr">
        <is>
          <t>S</t>
        </is>
      </c>
      <c r="BE5" s="154" t="inlineStr">
        <is>
          <t>O</t>
        </is>
      </c>
      <c r="BF5" s="154" t="inlineStr">
        <is>
          <t>N</t>
        </is>
      </c>
      <c r="BG5" s="173" t="n"/>
      <c r="BH5" s="173" t="n"/>
      <c r="BI5" s="173" t="n"/>
      <c r="BJ5" s="173" t="n"/>
      <c r="BK5" s="173" t="n"/>
      <c r="BL5" s="173" t="n"/>
      <c r="BM5" s="173" t="n"/>
      <c r="BN5" s="173" t="n"/>
      <c r="BO5" s="173" t="n"/>
      <c r="BP5" s="153" t="n"/>
      <c r="BQ5" s="153" t="n"/>
      <c r="BR5" s="153" t="n"/>
      <c r="BS5" s="153" t="n"/>
      <c r="BT5" s="153" t="n"/>
      <c r="BU5" s="153" t="n"/>
      <c r="BV5" s="153" t="n"/>
      <c r="BW5" s="153" t="n"/>
      <c r="BX5" s="153" t="n"/>
      <c r="BY5" s="153" t="n"/>
      <c r="BZ5" s="153" t="n"/>
      <c r="CA5" s="153" t="n"/>
    </row>
    <row r="6" hidden="1" ht="14" customHeight="1" s="127" thickBot="1">
      <c r="B6" s="122" t="n"/>
      <c r="C6" s="122" t="n"/>
      <c r="D6" s="122" t="n"/>
      <c r="E6" s="122" t="n"/>
      <c r="F6" t="inlineStr">
        <is>
          <t>Remaining (light)</t>
        </is>
      </c>
      <c r="G6" s="103" t="n"/>
      <c r="H6" s="155">
        <f>EDATE(Project_Start, COLUMNS($H6:H6)-1)</f>
        <v/>
      </c>
      <c r="I6" s="155">
        <f>EDATE(Project_Start, COLUMNS($H6:I6)-1)</f>
        <v/>
      </c>
      <c r="J6" s="155">
        <f>EDATE(Project_Start, COLUMNS($H6:J6)-1)</f>
        <v/>
      </c>
      <c r="K6" s="155">
        <f>EDATE(Project_Start, COLUMNS($H6:K6)-1)</f>
        <v/>
      </c>
      <c r="L6" s="155">
        <f>EDATE(Project_Start, COLUMNS($H6:L6)-1)</f>
        <v/>
      </c>
      <c r="M6" s="155">
        <f>EDATE(Project_Start, COLUMNS($H6:M6)-1)</f>
        <v/>
      </c>
      <c r="N6" s="155">
        <f>EDATE(Project_Start, COLUMNS($H6:N6)-1)</f>
        <v/>
      </c>
      <c r="O6" s="155">
        <f>EDATE(Project_Start, COLUMNS($H6:O6)-1)</f>
        <v/>
      </c>
      <c r="P6" s="155">
        <f>EDATE(Project_Start, COLUMNS($H6:P6)-1)</f>
        <v/>
      </c>
      <c r="Q6" s="155">
        <f>EDATE(Project_Start, COLUMNS($H6:Q6)-1)</f>
        <v/>
      </c>
      <c r="R6" s="155">
        <f>EDATE(Project_Start, COLUMNS($H6:R6)-1)</f>
        <v/>
      </c>
      <c r="S6" s="155">
        <f>EDATE(Project_Start, COLUMNS($H6:S6)-1)</f>
        <v/>
      </c>
      <c r="T6" s="155">
        <f>EDATE(Project_Start, COLUMNS($H6:T6)-1)</f>
        <v/>
      </c>
      <c r="U6" s="155">
        <f>EDATE(Project_Start, COLUMNS($H6:U6)-1)</f>
        <v/>
      </c>
      <c r="V6" s="155">
        <f>EDATE(Project_Start, COLUMNS($H6:V6)-1)</f>
        <v/>
      </c>
      <c r="W6" s="155">
        <f>EDATE(Project_Start, COLUMNS($H6:W6)-1)</f>
        <v/>
      </c>
      <c r="X6" s="155">
        <f>EDATE(Project_Start, COLUMNS($H6:X6)-1)</f>
        <v/>
      </c>
      <c r="Y6" s="155">
        <f>EDATE(Project_Start, COLUMNS($H6:Y6)-1)</f>
        <v/>
      </c>
      <c r="Z6" s="155">
        <f>EDATE(Project_Start, COLUMNS($H6:Z6)-1)</f>
        <v/>
      </c>
      <c r="AA6" s="155">
        <f>EDATE(Project_Start, COLUMNS($H6:AA6)-1)</f>
        <v/>
      </c>
      <c r="AB6" s="155">
        <f>EDATE(Project_Start, COLUMNS($H6:AB6)-1)</f>
        <v/>
      </c>
      <c r="AC6" s="155">
        <f>EDATE(Project_Start, COLUMNS($H6:AC6)-1)</f>
        <v/>
      </c>
      <c r="AD6" s="155">
        <f>EDATE(Project_Start, COLUMNS($H6:AD6)-1)</f>
        <v/>
      </c>
      <c r="AE6" s="155">
        <f>EDATE(Project_Start, COLUMNS($H6:AE6)-1)</f>
        <v/>
      </c>
      <c r="AF6" s="155">
        <f>EDATE(Project_Start, COLUMNS($H6:AF6)-1)</f>
        <v/>
      </c>
      <c r="AG6" s="155">
        <f>EDATE(Project_Start, COLUMNS($H6:AG6)-1)</f>
        <v/>
      </c>
      <c r="AH6" s="155">
        <f>EDATE(Project_Start, COLUMNS($H6:AH6)-1)</f>
        <v/>
      </c>
      <c r="AI6" s="155">
        <f>EDATE(Project_Start, COLUMNS($H6:AI6)-1)</f>
        <v/>
      </c>
      <c r="AJ6" s="155">
        <f>EDATE(Project_Start, COLUMNS($H6:AJ6)-1)</f>
        <v/>
      </c>
      <c r="AK6" s="155">
        <f>EDATE(Project_Start, COLUMNS($H6:AK6)-1)</f>
        <v/>
      </c>
      <c r="AL6" s="155">
        <f>EDATE(Project_Start, COLUMNS($H6:AL6)-1)</f>
        <v/>
      </c>
      <c r="AM6" s="155">
        <f>EDATE(Project_Start, COLUMNS($H6:AM6)-1)</f>
        <v/>
      </c>
      <c r="AN6" s="155">
        <f>EDATE(Project_Start, COLUMNS($H6:AN6)-1)</f>
        <v/>
      </c>
      <c r="AO6" s="155">
        <f>EDATE(Project_Start, COLUMNS($H6:AO6)-1)</f>
        <v/>
      </c>
      <c r="AP6" s="155">
        <f>EDATE(Project_Start, COLUMNS($H6:AP6)-1)</f>
        <v/>
      </c>
      <c r="AQ6" s="155">
        <f>EDATE(Project_Start, COLUMNS($H6:AQ6)-1)</f>
        <v/>
      </c>
      <c r="AR6" s="155">
        <f>EDATE(Project_Start, COLUMNS($H6:AR6)-1)</f>
        <v/>
      </c>
      <c r="AS6" s="155">
        <f>EDATE(Project_Start, COLUMNS($H6:AS6)-1)</f>
        <v/>
      </c>
      <c r="AT6" s="155">
        <f>EDATE(Project_Start, COLUMNS($H6:AT6)-1)</f>
        <v/>
      </c>
      <c r="AU6" s="155">
        <f>EDATE(Project_Start, COLUMNS($H6:AU6)-1)</f>
        <v/>
      </c>
      <c r="AV6" s="155">
        <f>EDATE(Project_Start, COLUMNS($H6:AV6)-1)</f>
        <v/>
      </c>
      <c r="AW6" s="155">
        <f>EDATE(Project_Start, COLUMNS($H6:AW6)-1)</f>
        <v/>
      </c>
      <c r="AX6" s="155">
        <f>EDATE(Project_Start, COLUMNS($H6:AX6)-1)</f>
        <v/>
      </c>
      <c r="AY6" s="155">
        <f>EDATE(Project_Start, COLUMNS($H6:AY6)-1)</f>
        <v/>
      </c>
      <c r="AZ6" s="155">
        <f>EDATE(Project_Start, COLUMNS($H6:AZ6)-1)</f>
        <v/>
      </c>
      <c r="BA6" s="155">
        <f>EDATE(Project_Start, COLUMNS($H6:BA6)-1)</f>
        <v/>
      </c>
      <c r="BB6" s="155">
        <f>EDATE(Project_Start, COLUMNS($H6:BB6)-1)</f>
        <v/>
      </c>
      <c r="BC6" s="155">
        <f>EDATE(Project_Start, COLUMNS($H6:BC6)-1)</f>
        <v/>
      </c>
      <c r="BD6" s="155">
        <f>EDATE(Project_Start, COLUMNS($H6:BD6)-1)</f>
        <v/>
      </c>
      <c r="BE6" s="155">
        <f>EDATE(Project_Start, COLUMNS($H6:BE6)-1)</f>
        <v/>
      </c>
      <c r="BF6" s="155">
        <f>EDATE(Project_Start, COLUMNS($H6:BF6)-1)</f>
        <v/>
      </c>
      <c r="BG6" s="174" t="n"/>
      <c r="BH6" s="174" t="n"/>
      <c r="BI6" s="174" t="n"/>
      <c r="BJ6" s="174" t="n"/>
      <c r="BK6" s="174" t="n"/>
      <c r="BL6" s="174" t="n"/>
      <c r="BM6" s="174" t="n"/>
      <c r="BN6" s="174" t="n"/>
      <c r="BO6" s="174" t="n"/>
      <c r="BP6" s="153" t="n"/>
      <c r="BQ6" s="153" t="n"/>
      <c r="BR6" s="153" t="n"/>
      <c r="BS6" s="153" t="n"/>
      <c r="BT6" s="153" t="n"/>
      <c r="BU6" s="153" t="n"/>
      <c r="BV6" s="153" t="n"/>
      <c r="BW6" s="153" t="n"/>
      <c r="BX6" s="153" t="n"/>
      <c r="BY6" s="153" t="n"/>
      <c r="BZ6" s="153" t="n"/>
      <c r="CA6" s="153" t="n"/>
    </row>
    <row r="7" hidden="1" ht="20" customHeight="1" s="127">
      <c r="A7" s="130" t="inlineStr">
        <is>
          <t>Do not delete this hidden row; it preserves the formula used to highlight today's date in the project schedule.</t>
        </is>
      </c>
      <c r="B7" s="21" t="n"/>
      <c r="C7" s="75" t="n"/>
      <c r="D7" s="76" t="n"/>
      <c r="E7" s="76" t="n"/>
      <c r="G7">
        <f>IF(OR(ISBLANK(task_start),ISBLANK(task_end)),"",task_end-task_start+1)</f>
        <v/>
      </c>
      <c r="H7" s="156" t="n"/>
      <c r="I7" s="156" t="n"/>
      <c r="J7" s="156" t="n"/>
      <c r="K7" s="156" t="n"/>
      <c r="L7" s="156" t="n"/>
      <c r="M7" s="156" t="n"/>
      <c r="N7" s="156" t="n"/>
      <c r="O7" s="156" t="n"/>
      <c r="P7" s="156" t="n"/>
      <c r="Q7" s="156" t="n"/>
      <c r="R7" s="156" t="n"/>
      <c r="S7" s="156" t="n"/>
      <c r="T7" s="156" t="n"/>
      <c r="U7" s="156" t="n"/>
      <c r="V7" s="156" t="n"/>
      <c r="W7" s="156" t="n"/>
      <c r="X7" s="156" t="n"/>
      <c r="Y7" s="156" t="n"/>
      <c r="Z7" s="156" t="n"/>
      <c r="AA7" s="156" t="n"/>
      <c r="AB7" s="156" t="n"/>
      <c r="AC7" s="156" t="n"/>
      <c r="AD7" s="156" t="n"/>
      <c r="AE7" s="156" t="n"/>
      <c r="AF7" s="156" t="n"/>
      <c r="AG7" s="156" t="n"/>
      <c r="AH7" s="156" t="n"/>
      <c r="AI7" s="156" t="n"/>
      <c r="AJ7" s="156" t="n"/>
      <c r="AK7" s="156" t="n"/>
      <c r="AL7" s="156" t="n"/>
      <c r="AM7" s="156" t="n"/>
      <c r="AN7" s="156" t="n"/>
      <c r="AO7" s="156" t="n"/>
      <c r="AP7" s="156" t="n"/>
      <c r="AQ7" s="156" t="n"/>
      <c r="AR7" s="156" t="n"/>
      <c r="AS7" s="156" t="n"/>
      <c r="AT7" s="156" t="n"/>
      <c r="AU7" s="156" t="n"/>
      <c r="AV7" s="156" t="n"/>
      <c r="AW7" s="156" t="n"/>
      <c r="AX7" s="156" t="n"/>
      <c r="AY7" s="156" t="n"/>
      <c r="AZ7" s="156" t="n"/>
      <c r="BA7" s="156" t="n"/>
      <c r="BB7" s="156" t="n"/>
      <c r="BC7" s="156" t="n"/>
      <c r="BD7" s="156" t="n"/>
      <c r="BE7" s="53" t="n"/>
      <c r="BF7" s="53" t="n"/>
      <c r="BG7" s="156" t="n"/>
      <c r="BH7" s="156" t="n"/>
      <c r="BI7" s="156" t="n"/>
      <c r="BJ7" s="156" t="n"/>
      <c r="BK7" s="156" t="n"/>
      <c r="BL7" s="153" t="n"/>
      <c r="BM7" s="153" t="n"/>
      <c r="BN7" s="153" t="n"/>
      <c r="BO7" s="153" t="n"/>
      <c r="BP7" s="153" t="n"/>
      <c r="BQ7" s="153" t="n"/>
      <c r="BR7" s="153" t="n"/>
      <c r="BS7" s="153" t="n"/>
      <c r="BT7" s="153" t="n"/>
      <c r="BU7" s="153" t="n"/>
      <c r="BV7" s="153" t="n"/>
      <c r="BW7" s="153" t="n"/>
      <c r="BX7" s="153" t="n"/>
      <c r="BY7" s="153" t="n"/>
      <c r="BZ7" s="153" t="n"/>
      <c r="CA7" s="153" t="n"/>
    </row>
    <row r="8" ht="46" customFormat="1" customHeight="1" s="53" thickBot="1">
      <c r="A8" s="178" t="n"/>
      <c r="B8" s="221" t="inlineStr">
        <is>
          <t>Phase 1 - Preliminary Research</t>
        </is>
      </c>
      <c r="C8" s="222" t="inlineStr">
        <is>
          <t>Phase 1: Preliminary Research</t>
        </is>
      </c>
      <c r="D8" s="223" t="n"/>
      <c r="E8" s="223" t="n"/>
      <c r="F8" s="182" t="n"/>
      <c r="G8" s="183">
        <f>IF(OR(ISBLANK(task_start),ISBLANK(task_end)),"",task_end-task_start+1)</f>
        <v/>
      </c>
      <c r="H8" s="281" t="n"/>
      <c r="I8" s="282" t="n"/>
      <c r="J8" s="282" t="n"/>
      <c r="K8" s="282" t="n"/>
      <c r="L8" s="282" t="n"/>
      <c r="M8" s="282" t="n"/>
      <c r="N8" s="282" t="n"/>
      <c r="O8" s="282" t="n"/>
      <c r="P8" s="282" t="n"/>
      <c r="Q8" s="282" t="n"/>
      <c r="R8" s="282" t="n"/>
      <c r="S8" s="282" t="n"/>
      <c r="T8" s="282" t="n"/>
      <c r="U8" s="282" t="n"/>
      <c r="V8" s="282" t="n"/>
      <c r="W8" s="282" t="n"/>
      <c r="X8" s="282" t="n"/>
      <c r="Y8" s="282" t="n"/>
      <c r="Z8" s="282" t="n"/>
      <c r="AA8" s="282" t="n"/>
      <c r="AB8" s="282" t="n"/>
      <c r="AC8" s="282" t="n"/>
      <c r="AD8" s="282" t="n"/>
      <c r="AE8" s="282" t="n"/>
      <c r="AF8" s="282" t="n"/>
      <c r="AG8" s="282" t="n"/>
      <c r="AH8" s="282" t="n"/>
      <c r="AI8" s="282" t="n"/>
      <c r="AJ8" s="282" t="n"/>
      <c r="AK8" s="282" t="n"/>
      <c r="AL8" s="282" t="n"/>
      <c r="AM8" s="282" t="n"/>
      <c r="AN8" s="282" t="n"/>
      <c r="AO8" s="282" t="n"/>
      <c r="AP8" s="282" t="n"/>
      <c r="AQ8" s="283" t="n"/>
      <c r="AR8" s="283" t="n"/>
      <c r="AS8" s="283" t="n"/>
      <c r="AT8" s="283" t="n"/>
      <c r="AU8" s="283" t="n"/>
      <c r="AV8" s="283" t="n"/>
      <c r="AW8" s="283" t="n"/>
      <c r="AX8" s="283" t="n"/>
      <c r="AY8" s="283" t="n"/>
      <c r="AZ8" s="283" t="n"/>
      <c r="BA8" s="283" t="n"/>
      <c r="BB8" s="283" t="n"/>
      <c r="BC8" s="283" t="n"/>
      <c r="BD8" s="283" t="n"/>
      <c r="BE8" s="284" t="n"/>
      <c r="BF8" s="284" t="n"/>
      <c r="BG8" s="156" t="n"/>
      <c r="BH8" s="153" t="n"/>
      <c r="BI8" s="153" t="n"/>
      <c r="BJ8" s="153" t="n"/>
      <c r="BK8" s="153" t="n"/>
      <c r="BL8" s="153" t="n"/>
      <c r="BM8" s="153" t="n"/>
      <c r="BN8" s="153" t="n"/>
      <c r="BO8" s="153" t="n"/>
      <c r="BP8" s="153" t="n"/>
      <c r="BQ8" s="153" t="n"/>
      <c r="BR8" s="153" t="n"/>
      <c r="BS8" s="153" t="n"/>
      <c r="BT8" s="153" t="n"/>
      <c r="BU8" s="153" t="n"/>
      <c r="BV8" s="153" t="n"/>
      <c r="BW8" s="153" t="n"/>
      <c r="BX8" s="153" t="n"/>
      <c r="BY8" s="153" t="n"/>
      <c r="BZ8" s="153" t="n"/>
      <c r="CA8" s="153" t="n"/>
    </row>
    <row r="9" ht="54" customFormat="1" customHeight="1" s="53" thickBot="1">
      <c r="A9" s="178" t="n"/>
      <c r="B9" s="256" t="inlineStr">
        <is>
          <t>Modules</t>
        </is>
      </c>
      <c r="C9" s="257" t="n">
        <v>1</v>
      </c>
      <c r="D9" s="78" t="n">
        <v>44830</v>
      </c>
      <c r="E9" s="78" t="n">
        <v>45174</v>
      </c>
      <c r="F9" s="182" t="n"/>
      <c r="G9" s="183">
        <f>IF(OR(ISBLANK(task_start),ISBLANK(task_end)),"",task_end-task_start+1)</f>
        <v/>
      </c>
      <c r="H9" s="273" t="inlineStr">
        <is>
          <t>CDT taught year - Modules</t>
        </is>
      </c>
      <c r="I9" s="282" t="n"/>
      <c r="J9" s="282" t="n"/>
      <c r="K9" s="282" t="n"/>
      <c r="L9" s="282" t="n"/>
      <c r="M9" s="282" t="n"/>
      <c r="N9" s="282" t="n"/>
      <c r="O9" s="282" t="n"/>
      <c r="P9" s="282" t="n"/>
      <c r="Q9" s="282" t="n"/>
      <c r="R9" s="282" t="n"/>
      <c r="S9" s="282" t="n"/>
      <c r="T9" s="282" t="n"/>
      <c r="U9" s="282" t="n"/>
      <c r="V9" s="282" t="n"/>
      <c r="W9" s="282" t="n"/>
      <c r="X9" s="282" t="n"/>
      <c r="Y9" s="282" t="n"/>
      <c r="Z9" s="282" t="n"/>
      <c r="AA9" s="282" t="n"/>
      <c r="AB9" s="282" t="n"/>
      <c r="AC9" s="282" t="n"/>
      <c r="AD9" s="282" t="n"/>
      <c r="AE9" s="282" t="n"/>
      <c r="AF9" s="282" t="n"/>
      <c r="AG9" s="282" t="n"/>
      <c r="AH9" s="282" t="n"/>
      <c r="AI9" s="282" t="n"/>
      <c r="AJ9" s="282" t="n"/>
      <c r="AK9" s="282" t="n"/>
      <c r="AL9" s="282" t="n"/>
      <c r="AM9" s="282" t="n"/>
      <c r="AN9" s="282" t="n"/>
      <c r="AO9" s="282" t="n"/>
      <c r="AP9" s="282" t="n"/>
      <c r="AQ9" s="282" t="n"/>
      <c r="AR9" s="282" t="n"/>
      <c r="AS9" s="282" t="n"/>
      <c r="AT9" s="282" t="n"/>
      <c r="AU9" s="282" t="n"/>
      <c r="AV9" s="282" t="n"/>
      <c r="AW9" s="282" t="n"/>
      <c r="AX9" s="282" t="n"/>
      <c r="AY9" s="282" t="n"/>
      <c r="AZ9" s="282" t="n"/>
      <c r="BA9" s="282" t="n"/>
      <c r="BB9" s="282" t="n"/>
      <c r="BC9" s="282" t="n"/>
      <c r="BD9" s="282" t="n"/>
      <c r="BE9" s="285" t="n"/>
      <c r="BF9" s="286" t="n"/>
      <c r="BG9" s="156" t="n"/>
      <c r="BH9" s="156" t="n"/>
      <c r="BI9" s="156" t="n"/>
      <c r="BJ9" s="156" t="n"/>
      <c r="BK9" s="156" t="n"/>
      <c r="BL9" s="156" t="n"/>
      <c r="BM9" s="156" t="n"/>
      <c r="BN9" s="156" t="n"/>
      <c r="BO9" s="156" t="n"/>
      <c r="BP9" s="153" t="n"/>
      <c r="BQ9" s="153" t="n"/>
      <c r="BR9" s="153" t="n"/>
      <c r="BS9" s="153" t="n"/>
      <c r="BT9" s="153" t="n"/>
      <c r="BU9" s="153" t="n"/>
      <c r="BV9" s="153" t="n"/>
      <c r="BW9" s="153" t="n"/>
      <c r="BX9" s="153" t="n"/>
      <c r="BY9" s="153" t="n"/>
      <c r="BZ9" s="153" t="n"/>
      <c r="CA9" s="153" t="n"/>
    </row>
    <row r="10" ht="54" customFormat="1" customHeight="1" s="53" thickBot="1">
      <c r="A10" s="178" t="n"/>
      <c r="B10" s="256" t="inlineStr">
        <is>
          <t>Literature</t>
        </is>
      </c>
      <c r="C10" s="257" t="n">
        <v>1</v>
      </c>
      <c r="D10" s="78" t="n">
        <v>44854</v>
      </c>
      <c r="E10" s="78" t="n">
        <v>44967</v>
      </c>
      <c r="F10" s="182" t="n"/>
      <c r="G10" s="183" t="n"/>
      <c r="H10" s="282" t="n"/>
      <c r="I10" s="287" t="inlineStr">
        <is>
          <t>Lit Review</t>
        </is>
      </c>
      <c r="J10" s="282" t="n"/>
      <c r="K10" s="282" t="n"/>
      <c r="L10" s="282" t="n"/>
      <c r="M10" s="282" t="n"/>
      <c r="N10" s="282" t="n"/>
      <c r="O10" s="282" t="n"/>
      <c r="P10" s="282" t="n"/>
      <c r="Q10" s="282" t="n"/>
      <c r="R10" s="282" t="n"/>
      <c r="S10" s="282" t="n"/>
      <c r="T10" s="282" t="n"/>
      <c r="U10" s="282" t="n"/>
      <c r="V10" s="282" t="n"/>
      <c r="W10" s="282" t="n"/>
      <c r="X10" s="282" t="n"/>
      <c r="Y10" s="282" t="n"/>
      <c r="Z10" s="282" t="n"/>
      <c r="AA10" s="282" t="n"/>
      <c r="AB10" s="282" t="n"/>
      <c r="AC10" s="282" t="n"/>
      <c r="AD10" s="282" t="n"/>
      <c r="AE10" s="282" t="n"/>
      <c r="AF10" s="282" t="n"/>
      <c r="AG10" s="282" t="n"/>
      <c r="AH10" s="282" t="n"/>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5" t="n"/>
      <c r="BF10" s="286" t="n"/>
      <c r="BG10" s="156" t="n"/>
      <c r="BH10" s="156" t="n"/>
      <c r="BI10" s="156" t="n"/>
      <c r="BJ10" s="156" t="n"/>
      <c r="BK10" s="156" t="n"/>
      <c r="BL10" s="156" t="n"/>
      <c r="BM10" s="156" t="n"/>
      <c r="BN10" s="156" t="n"/>
      <c r="BO10" s="156" t="n"/>
      <c r="BP10" s="153" t="n"/>
      <c r="BQ10" s="153" t="n"/>
      <c r="BR10" s="153" t="n"/>
      <c r="BS10" s="153" t="n"/>
      <c r="BT10" s="153" t="n"/>
      <c r="BU10" s="153" t="n"/>
      <c r="BV10" s="153" t="n"/>
      <c r="BW10" s="153" t="n"/>
      <c r="BX10" s="153" t="n"/>
      <c r="BY10" s="153" t="n"/>
      <c r="BZ10" s="153" t="n"/>
      <c r="CA10" s="153" t="n"/>
    </row>
    <row r="11" ht="54" customFormat="1" customHeight="1" s="53" thickBot="1">
      <c r="A11" s="178" t="n"/>
      <c r="B11" s="256" t="inlineStr">
        <is>
          <t>Systematic review</t>
        </is>
      </c>
      <c r="C11" s="257" t="n">
        <v>1</v>
      </c>
      <c r="D11" s="78" t="n">
        <v>44876</v>
      </c>
      <c r="E11" s="78" t="n">
        <v>45058</v>
      </c>
      <c r="F11" s="182" t="n"/>
      <c r="G11" s="183">
        <f>IF(OR(ISBLANK(task_start),ISBLANK(task_end)),"",task_end-task_start+1)</f>
        <v/>
      </c>
      <c r="H11" s="282" t="n"/>
      <c r="I11" s="282" t="n"/>
      <c r="J11" s="287" t="inlineStr">
        <is>
          <t>Sytematic Review</t>
        </is>
      </c>
      <c r="K11" s="282" t="n"/>
      <c r="L11" s="282" t="n"/>
      <c r="M11" s="282" t="n"/>
      <c r="N11" s="282" t="n"/>
      <c r="O11" s="282" t="n"/>
      <c r="P11" s="282" t="n"/>
      <c r="Q11" s="282" t="n"/>
      <c r="R11" s="282" t="n"/>
      <c r="S11" s="282" t="n"/>
      <c r="T11" s="282" t="n"/>
      <c r="U11" s="282" t="n"/>
      <c r="V11" s="282" t="n"/>
      <c r="W11" s="282" t="n"/>
      <c r="X11" s="282" t="n"/>
      <c r="Y11" s="282" t="n"/>
      <c r="Z11" s="282" t="n"/>
      <c r="AA11" s="282" t="n"/>
      <c r="AB11" s="282" t="n"/>
      <c r="AC11" s="282" t="n"/>
      <c r="AD11" s="282" t="n"/>
      <c r="AE11" s="282" t="n"/>
      <c r="AF11" s="282" t="n"/>
      <c r="AG11" s="282" t="n"/>
      <c r="AH11" s="282" t="n"/>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8" t="n"/>
      <c r="BF11" s="289" t="n"/>
      <c r="BG11" s="156" t="n"/>
      <c r="BH11" s="156" t="n"/>
      <c r="BI11" s="156" t="n"/>
      <c r="BJ11" s="156" t="n"/>
      <c r="BK11" s="156" t="n"/>
      <c r="BL11" s="156" t="n"/>
      <c r="BM11" s="156" t="n"/>
      <c r="BN11" s="156" t="n"/>
      <c r="BO11" s="156" t="n"/>
      <c r="BP11" s="153" t="n"/>
      <c r="BQ11" s="153" t="n"/>
      <c r="BR11" s="153" t="n"/>
      <c r="BS11" s="153" t="n"/>
      <c r="BT11" s="153" t="n"/>
      <c r="BU11" s="153" t="n"/>
      <c r="BV11" s="153" t="n"/>
      <c r="BW11" s="153" t="n"/>
      <c r="BX11" s="153" t="n"/>
      <c r="BY11" s="153" t="n"/>
      <c r="BZ11" s="153" t="n"/>
      <c r="CA11" s="153" t="n"/>
    </row>
    <row r="12" ht="54" customFormat="1" customHeight="1" s="53" thickBot="1">
      <c r="A12" s="197" t="n"/>
      <c r="B12" s="256" t="inlineStr">
        <is>
          <t>Final project</t>
        </is>
      </c>
      <c r="C12" s="257" t="n">
        <v>1</v>
      </c>
      <c r="D12" s="78" t="n">
        <v>44927</v>
      </c>
      <c r="E12" s="78" t="n">
        <v>45108</v>
      </c>
      <c r="F12" s="182" t="n"/>
      <c r="G12" s="183">
        <f>IF(OR(ISBLANK(task_start),ISBLANK(task_end)),"",task_end-task_start+1)</f>
        <v/>
      </c>
      <c r="H12" s="282" t="n"/>
      <c r="I12" s="282" t="n"/>
      <c r="J12" s="282" t="n"/>
      <c r="K12" s="282" t="n"/>
      <c r="L12" s="287" t="inlineStr">
        <is>
          <t>Final project</t>
        </is>
      </c>
      <c r="M12" s="282" t="n"/>
      <c r="N12" s="282" t="n"/>
      <c r="O12" s="282" t="n"/>
      <c r="P12" s="282" t="n"/>
      <c r="Q12" s="282" t="n"/>
      <c r="R12" s="282" t="n"/>
      <c r="S12" s="282" t="n"/>
      <c r="T12" s="282" t="n"/>
      <c r="U12" s="282" t="n"/>
      <c r="V12" s="282" t="n"/>
      <c r="W12" s="282" t="n"/>
      <c r="X12" s="282" t="n"/>
      <c r="Y12" s="282" t="n"/>
      <c r="Z12" s="282" t="n"/>
      <c r="AA12" s="282" t="n"/>
      <c r="AB12" s="282" t="n"/>
      <c r="AC12" s="282" t="n"/>
      <c r="AD12" s="282" t="n"/>
      <c r="AE12" s="282" t="n"/>
      <c r="AF12" s="282" t="n"/>
      <c r="AG12" s="282" t="n"/>
      <c r="AH12" s="282" t="n"/>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8" t="n"/>
      <c r="BF12" s="289" t="n"/>
      <c r="BG12" s="156" t="n"/>
      <c r="BH12" s="156" t="n"/>
      <c r="BI12" s="156" t="n"/>
      <c r="BJ12" s="156" t="n"/>
      <c r="BK12" s="156" t="n"/>
      <c r="BL12" s="156" t="n"/>
      <c r="BM12" s="156" t="n"/>
      <c r="BN12" s="156" t="n"/>
      <c r="BO12" s="156" t="n"/>
      <c r="BP12" s="153" t="n"/>
      <c r="BQ12" s="153" t="n"/>
      <c r="BR12" s="153" t="n"/>
      <c r="BS12" s="153" t="n"/>
      <c r="BT12" s="153" t="n"/>
      <c r="BU12" s="153" t="n"/>
      <c r="BV12" s="153" t="n"/>
      <c r="BW12" s="153" t="n"/>
      <c r="BX12" s="153" t="n"/>
      <c r="BY12" s="153" t="n"/>
      <c r="BZ12" s="153" t="n"/>
      <c r="CA12" s="153" t="n"/>
    </row>
    <row r="13" ht="54" customFormat="1" customHeight="1" s="53" thickBot="1">
      <c r="A13" s="197" t="n"/>
      <c r="B13" s="256" t="inlineStr">
        <is>
          <t>Research design</t>
        </is>
      </c>
      <c r="C13" s="257" t="n">
        <v>1</v>
      </c>
      <c r="D13" s="78" t="n">
        <v>45170</v>
      </c>
      <c r="E13" s="78" t="n">
        <v>45293</v>
      </c>
      <c r="F13" s="182" t="n"/>
      <c r="G13" s="198" t="n"/>
      <c r="H13" s="282" t="n"/>
      <c r="I13" s="282" t="n"/>
      <c r="J13" s="282" t="n"/>
      <c r="K13" s="282" t="n"/>
      <c r="L13" s="282" t="n"/>
      <c r="M13" s="282" t="n"/>
      <c r="N13" s="282" t="n"/>
      <c r="O13" s="282" t="n"/>
      <c r="P13" s="282" t="n"/>
      <c r="Q13" s="282" t="n"/>
      <c r="R13" s="282" t="n"/>
      <c r="S13" s="282" t="n"/>
      <c r="T13" s="287" t="inlineStr">
        <is>
          <t>R. Design</t>
        </is>
      </c>
      <c r="U13" s="282" t="n"/>
      <c r="V13" s="282" t="n"/>
      <c r="W13" s="282" t="n"/>
      <c r="X13" s="282" t="n"/>
      <c r="Y13" s="282" t="n"/>
      <c r="Z13" s="282" t="n"/>
      <c r="AA13" s="282" t="n"/>
      <c r="AB13" s="282" t="n"/>
      <c r="AC13" s="282" t="n"/>
      <c r="AD13" s="282" t="n"/>
      <c r="AE13" s="282" t="n"/>
      <c r="AF13" s="282" t="n"/>
      <c r="AG13" s="282" t="n"/>
      <c r="AH13" s="282" t="n"/>
      <c r="AI13" s="282" t="n"/>
      <c r="AJ13" s="282" t="n"/>
      <c r="AK13" s="282" t="n"/>
      <c r="AL13" s="282" t="n"/>
      <c r="AM13" s="282" t="n"/>
      <c r="AN13" s="282" t="n"/>
      <c r="AO13" s="282" t="n"/>
      <c r="AP13" s="282" t="n"/>
      <c r="AQ13" s="282" t="n"/>
      <c r="AR13" s="282" t="n"/>
      <c r="AS13" s="282" t="n"/>
      <c r="AT13" s="282" t="n"/>
      <c r="AU13" s="282" t="n"/>
      <c r="AV13" s="282" t="n"/>
      <c r="AW13" s="282" t="n"/>
      <c r="AX13" s="282" t="n"/>
      <c r="AY13" s="282" t="n"/>
      <c r="AZ13" s="282" t="n"/>
      <c r="BA13" s="282" t="n"/>
      <c r="BB13" s="282" t="n"/>
      <c r="BC13" s="282" t="n"/>
      <c r="BD13" s="282" t="n"/>
      <c r="BE13" s="288" t="n"/>
      <c r="BF13" s="289" t="n"/>
      <c r="BG13" s="156" t="n"/>
      <c r="BH13" s="156" t="n"/>
      <c r="BI13" s="156" t="n"/>
      <c r="BJ13" s="156" t="n"/>
      <c r="BK13" s="156" t="n"/>
      <c r="BL13" s="156" t="n"/>
      <c r="BM13" s="156" t="n"/>
      <c r="BN13" s="156" t="n"/>
      <c r="BO13" s="156" t="n"/>
      <c r="BP13" s="153" t="n"/>
      <c r="BQ13" s="153" t="n"/>
      <c r="BR13" s="153" t="n"/>
      <c r="BS13" s="153" t="n"/>
      <c r="BT13" s="153" t="n"/>
      <c r="BU13" s="153" t="n"/>
      <c r="BV13" s="153" t="n"/>
      <c r="BW13" s="153" t="n"/>
      <c r="BX13" s="153" t="n"/>
      <c r="BY13" s="153" t="n"/>
      <c r="BZ13" s="153" t="n"/>
      <c r="CA13" s="153" t="n"/>
    </row>
    <row r="14" ht="54" customFormat="1" customHeight="1" s="53" thickBot="1">
      <c r="A14" s="197" t="n"/>
      <c r="B14" s="256" t="inlineStr">
        <is>
          <t>Upgrade Report</t>
        </is>
      </c>
      <c r="C14" s="257" t="n">
        <v>1</v>
      </c>
      <c r="D14" s="78" t="n">
        <v>45298</v>
      </c>
      <c r="E14" s="78" t="n">
        <v>45962</v>
      </c>
      <c r="F14" s="182" t="n"/>
      <c r="G14" s="198">
        <f>IF(OR(ISBLANK(task_start),ISBLANK(task_end)),"",task_end-task_start+1)</f>
        <v/>
      </c>
      <c r="H14" s="282" t="n"/>
      <c r="I14" s="282" t="n"/>
      <c r="J14" s="282" t="n"/>
      <c r="K14" s="282" t="n"/>
      <c r="L14" s="282" t="n"/>
      <c r="M14" s="282" t="n"/>
      <c r="N14" s="282" t="n"/>
      <c r="O14" s="282" t="n"/>
      <c r="P14" s="282" t="n"/>
      <c r="Q14" s="282" t="n"/>
      <c r="R14" s="282" t="n"/>
      <c r="S14" s="282" t="n"/>
      <c r="T14" s="282" t="n"/>
      <c r="U14" s="282" t="n"/>
      <c r="V14" s="282" t="n"/>
      <c r="W14" s="282" t="n"/>
      <c r="X14" s="287" t="inlineStr">
        <is>
          <t>This report</t>
        </is>
      </c>
      <c r="Y14" s="282" t="n"/>
      <c r="Z14" s="282" t="n"/>
      <c r="AA14" s="282" t="n"/>
      <c r="AB14" s="282" t="n"/>
      <c r="AC14" s="282" t="n"/>
      <c r="AD14" s="282" t="n"/>
      <c r="AE14" s="282" t="n"/>
      <c r="AF14" s="282" t="n"/>
      <c r="AG14" s="282" t="n"/>
      <c r="AH14" s="282" t="n"/>
      <c r="AI14" s="282" t="n"/>
      <c r="AJ14" s="282" t="n"/>
      <c r="AK14" s="282" t="n"/>
      <c r="AL14" s="282" t="n"/>
      <c r="AM14" s="282" t="n"/>
      <c r="AN14" s="282" t="n"/>
      <c r="AO14" s="282" t="n"/>
      <c r="AP14" s="282" t="n"/>
      <c r="AQ14" s="282" t="n"/>
      <c r="AR14" s="282" t="n"/>
      <c r="AS14" s="282" t="n"/>
      <c r="AT14" s="282" t="n"/>
      <c r="AU14" s="282" t="n"/>
      <c r="AV14" s="282" t="n"/>
      <c r="AW14" s="282" t="n"/>
      <c r="AX14" s="282" t="n"/>
      <c r="AY14" s="282" t="n"/>
      <c r="AZ14" s="282" t="n"/>
      <c r="BA14" s="282" t="n"/>
      <c r="BB14" s="282" t="n"/>
      <c r="BC14" s="282" t="n"/>
      <c r="BD14" s="282" t="n"/>
      <c r="BE14" s="288" t="n"/>
      <c r="BF14" s="289" t="n"/>
      <c r="BG14" s="156" t="n"/>
      <c r="BH14" s="156" t="n"/>
      <c r="BI14" s="156" t="n"/>
      <c r="BJ14" s="156" t="n"/>
      <c r="BK14" s="156" t="n"/>
      <c r="BL14" s="156" t="n"/>
      <c r="BM14" s="156" t="n"/>
      <c r="BN14" s="156" t="n"/>
      <c r="BO14" s="156" t="n"/>
      <c r="BP14" s="153" t="n"/>
      <c r="BQ14" s="153" t="n"/>
      <c r="BR14" s="153" t="n"/>
      <c r="BS14" s="153" t="n"/>
      <c r="BT14" s="153" t="n"/>
      <c r="BU14" s="153" t="n"/>
      <c r="BV14" s="153" t="n"/>
      <c r="BW14" s="153" t="n"/>
      <c r="BX14" s="153" t="n"/>
      <c r="BY14" s="153" t="n"/>
      <c r="BZ14" s="153" t="n"/>
      <c r="CA14" s="153" t="n"/>
    </row>
    <row r="15" ht="48" customFormat="1" customHeight="1" s="53" thickBot="1">
      <c r="A15" s="178" t="n"/>
      <c r="B15" s="237" t="inlineStr">
        <is>
          <t>Phase 2 - Chp</t>
        </is>
      </c>
      <c r="C15" s="238" t="inlineStr">
        <is>
          <t>Phase 2: Chp</t>
        </is>
      </c>
      <c r="D15" s="239" t="n"/>
      <c r="E15" s="239" t="n"/>
      <c r="F15" s="182" t="n"/>
      <c r="G15" s="182">
        <f>IF(OR(ISBLANK(task_start),ISBLANK(task_end)),"",task_end-task_start+1)</f>
        <v/>
      </c>
      <c r="H15" s="281" t="n"/>
      <c r="I15" s="282" t="n"/>
      <c r="J15" s="282" t="n"/>
      <c r="K15" s="282" t="n"/>
      <c r="L15" s="282" t="n"/>
      <c r="M15" s="282" t="n"/>
      <c r="N15" s="282" t="n"/>
      <c r="O15" s="282" t="n"/>
      <c r="P15" s="282" t="n"/>
      <c r="Q15" s="282" t="n"/>
      <c r="R15" s="282" t="n"/>
      <c r="S15" s="282" t="n"/>
      <c r="T15" s="282" t="n"/>
      <c r="U15" s="282" t="n"/>
      <c r="V15" s="282" t="n"/>
      <c r="W15" s="282" t="n"/>
      <c r="X15" s="282" t="n"/>
      <c r="Y15" s="282" t="n"/>
      <c r="Z15" s="282" t="n"/>
      <c r="AA15" s="282" t="n"/>
      <c r="AB15" s="282" t="n"/>
      <c r="AC15" s="282" t="n"/>
      <c r="AD15" s="282" t="n"/>
      <c r="AE15" s="282" t="n"/>
      <c r="AF15" s="282" t="n"/>
      <c r="AG15" s="282" t="n"/>
      <c r="AH15" s="282" t="n"/>
      <c r="AI15" s="282" t="n"/>
      <c r="AJ15" s="282" t="n"/>
      <c r="AK15" s="282" t="n"/>
      <c r="AL15" s="282" t="n"/>
      <c r="AM15" s="282" t="n"/>
      <c r="AN15" s="282" t="n"/>
      <c r="AO15" s="282" t="n"/>
      <c r="AP15" s="282" t="n"/>
      <c r="AQ15" s="283" t="n"/>
      <c r="AR15" s="283" t="n"/>
      <c r="AS15" s="283" t="n"/>
      <c r="AT15" s="283" t="n"/>
      <c r="AU15" s="283" t="n"/>
      <c r="AV15" s="283" t="n"/>
      <c r="AW15" s="283" t="n"/>
      <c r="AX15" s="283" t="n"/>
      <c r="AY15" s="283" t="n"/>
      <c r="AZ15" s="283" t="n"/>
      <c r="BA15" s="283" t="n"/>
      <c r="BB15" s="283" t="n"/>
      <c r="BC15" s="283" t="n"/>
      <c r="BD15" s="283" t="n"/>
      <c r="BE15" s="284" t="n"/>
      <c r="BF15" s="284" t="n"/>
      <c r="BG15" s="156" t="n"/>
      <c r="BH15" s="153" t="n"/>
      <c r="BI15" s="153" t="n"/>
      <c r="BJ15" s="153" t="n"/>
      <c r="BK15" s="153" t="n"/>
      <c r="BL15" s="153" t="n"/>
      <c r="BM15" s="153" t="n"/>
      <c r="BN15" s="153" t="n"/>
      <c r="BO15" s="153" t="n"/>
      <c r="BP15" s="153" t="n"/>
      <c r="BQ15" s="153" t="n"/>
      <c r="BR15" s="153" t="n"/>
      <c r="BS15" s="153" t="n"/>
      <c r="BT15" s="153" t="n"/>
      <c r="BU15" s="153" t="n"/>
      <c r="BV15" s="153" t="n"/>
      <c r="BW15" s="153" t="n"/>
      <c r="BX15" s="153" t="n"/>
      <c r="BY15" s="153" t="n"/>
      <c r="BZ15" s="153" t="n"/>
      <c r="CA15" s="153" t="n"/>
    </row>
    <row r="16" ht="54" customFormat="1" customHeight="1" s="53" thickBot="1">
      <c r="A16" s="178" t="n"/>
      <c r="B16" s="268" t="inlineStr">
        <is>
          <t>Study 1: Evidence in Cyber Operations - A Thematic Review</t>
        </is>
      </c>
      <c r="C16" s="269" t="n">
        <v>1</v>
      </c>
      <c r="D16" s="78" t="n">
        <v>45812</v>
      </c>
      <c r="E16" s="78" t="n">
        <v>45996</v>
      </c>
      <c r="F16" s="182" t="n"/>
      <c r="G16" s="182" t="n"/>
      <c r="H16" s="270" t="inlineStr">
        <is>
          <t>Chp 1 - Introduction</t>
        </is>
      </c>
      <c r="I16" s="290" t="n"/>
      <c r="J16" s="290" t="n"/>
      <c r="K16" s="290" t="n"/>
      <c r="L16" s="290" t="n"/>
      <c r="M16" s="290" t="n"/>
      <c r="N16" s="290" t="n"/>
      <c r="O16" s="290" t="n"/>
      <c r="P16" s="290" t="n"/>
      <c r="Q16" s="290" t="n"/>
      <c r="R16" s="290" t="n"/>
      <c r="S16" s="290" t="n"/>
      <c r="T16" s="290" t="n"/>
      <c r="U16" s="290" t="n"/>
      <c r="V16" s="290" t="n"/>
      <c r="W16" s="290" t="n"/>
      <c r="X16" s="290" t="n"/>
      <c r="Y16" s="290" t="n"/>
      <c r="Z16" s="291" t="n"/>
      <c r="AA16" s="273" t="n"/>
      <c r="AB16" s="283" t="n"/>
      <c r="AC16" s="283" t="n"/>
      <c r="AD16" s="283" t="n"/>
      <c r="AE16" s="283" t="n"/>
      <c r="AF16" s="283" t="n"/>
      <c r="AG16" s="283" t="n"/>
      <c r="AH16" s="283" t="n"/>
      <c r="AI16" s="290" t="n"/>
      <c r="AJ16" s="274" t="n"/>
      <c r="AK16" s="290" t="n"/>
      <c r="AL16" s="290" t="n"/>
      <c r="AM16" s="290" t="n"/>
      <c r="AN16" s="290" t="n"/>
      <c r="AO16" s="275" t="n"/>
      <c r="AP16" s="290" t="n"/>
      <c r="AQ16" s="290" t="n"/>
      <c r="AR16" s="290" t="n"/>
      <c r="AS16" s="276" t="n"/>
      <c r="AT16" s="290" t="n"/>
      <c r="AU16" s="290" t="n"/>
      <c r="AV16" s="290" t="n"/>
      <c r="AW16" s="290" t="n"/>
      <c r="AX16" s="290" t="n"/>
      <c r="AY16" s="290" t="n"/>
      <c r="AZ16" s="290" t="n"/>
      <c r="BA16" s="290" t="n"/>
      <c r="BB16" s="290" t="n"/>
      <c r="BC16" s="290" t="n"/>
      <c r="BD16" s="290" t="n"/>
      <c r="BE16" s="284" t="n"/>
      <c r="BF16" s="284" t="n"/>
      <c r="BG16" s="156" t="n"/>
      <c r="BH16" s="153" t="n"/>
      <c r="BI16" s="153" t="n"/>
      <c r="BJ16" s="153" t="n"/>
      <c r="BK16" s="153" t="n"/>
      <c r="BL16" s="153" t="n"/>
      <c r="BM16" s="153" t="n"/>
      <c r="BN16" s="153" t="n"/>
      <c r="BO16" s="153" t="n"/>
      <c r="BP16" s="153" t="n"/>
      <c r="BQ16" s="153" t="n"/>
      <c r="BR16" s="153" t="n"/>
      <c r="BS16" s="153" t="n"/>
      <c r="BT16" s="153" t="n"/>
      <c r="BU16" s="153" t="n"/>
      <c r="BV16" s="153" t="n"/>
      <c r="BW16" s="153" t="n"/>
      <c r="BX16" s="153" t="n"/>
      <c r="BY16" s="153" t="n"/>
      <c r="BZ16" s="153" t="n"/>
      <c r="CA16" s="153" t="n"/>
    </row>
    <row r="17" ht="54" customFormat="1" customHeight="1" s="53" thickBot="1">
      <c r="A17" s="178" t="n"/>
      <c r="B17" s="268" t="inlineStr">
        <is>
          <t>Study 1: Evidence in Cyber Operations - Manuscript Revision</t>
        </is>
      </c>
      <c r="C17" s="269" t="n">
        <v>0.8</v>
      </c>
      <c r="D17" s="78" t="n">
        <v>45812</v>
      </c>
      <c r="E17" s="78" t="n">
        <v>46113</v>
      </c>
      <c r="F17" s="182" t="n"/>
      <c r="G17" s="182" t="n"/>
      <c r="H17" s="270" t="inlineStr">
        <is>
          <t>Chp 2 - Methods and Concepts</t>
        </is>
      </c>
      <c r="I17" s="290" t="n"/>
      <c r="J17" s="290" t="n"/>
      <c r="K17" s="290" t="n"/>
      <c r="L17" s="290" t="n"/>
      <c r="M17" s="290" t="n"/>
      <c r="N17" s="290" t="n"/>
      <c r="O17" s="290" t="n"/>
      <c r="P17" s="290" t="n"/>
      <c r="Q17" s="290" t="n"/>
      <c r="R17" s="290" t="n"/>
      <c r="S17" s="290" t="n"/>
      <c r="T17" s="290" t="n"/>
      <c r="U17" s="290" t="n"/>
      <c r="V17" s="290" t="n"/>
      <c r="W17" s="290" t="n"/>
      <c r="X17" s="290" t="n"/>
      <c r="Y17" s="290" t="n"/>
      <c r="Z17" s="291" t="n"/>
      <c r="AA17" s="273" t="n"/>
      <c r="AB17" s="283" t="n"/>
      <c r="AC17" s="283" t="n"/>
      <c r="AD17" s="283" t="n"/>
      <c r="AE17" s="283" t="n"/>
      <c r="AF17" s="283" t="n"/>
      <c r="AG17" s="283" t="n"/>
      <c r="AH17" s="283" t="n"/>
      <c r="AI17" s="290" t="n"/>
      <c r="AJ17" s="290" t="n"/>
      <c r="AK17" s="274" t="n"/>
      <c r="AL17" s="290" t="n"/>
      <c r="AM17" s="290" t="n"/>
      <c r="AN17" s="290" t="n"/>
      <c r="AO17" s="275" t="n"/>
      <c r="AP17" s="290" t="n"/>
      <c r="AQ17" s="290" t="n"/>
      <c r="AR17" s="290" t="n"/>
      <c r="AS17" s="290" t="n"/>
      <c r="AT17" s="290" t="n"/>
      <c r="AU17" s="290" t="n"/>
      <c r="AV17" s="276" t="n"/>
      <c r="AW17" s="290" t="n"/>
      <c r="AX17" s="290" t="n"/>
      <c r="AY17" s="290" t="n"/>
      <c r="AZ17" s="290" t="n"/>
      <c r="BA17" s="290" t="n"/>
      <c r="BB17" s="290" t="n"/>
      <c r="BC17" s="290" t="n"/>
      <c r="BD17" s="290" t="n"/>
      <c r="BE17" s="284" t="n"/>
      <c r="BF17" s="284" t="n"/>
      <c r="BG17" s="156" t="n"/>
      <c r="BH17" s="153" t="n"/>
      <c r="BI17" s="153" t="n"/>
      <c r="BJ17" s="153" t="n"/>
      <c r="BK17" s="153" t="n"/>
      <c r="BL17" s="153" t="n"/>
      <c r="BM17" s="153" t="n"/>
      <c r="BN17" s="153" t="n"/>
      <c r="BO17" s="153" t="n"/>
      <c r="BP17" s="153" t="n"/>
      <c r="BQ17" s="153" t="n"/>
      <c r="BR17" s="153" t="n"/>
      <c r="BS17" s="153" t="n"/>
      <c r="BT17" s="153" t="n"/>
      <c r="BU17" s="153" t="n"/>
      <c r="BV17" s="153" t="n"/>
      <c r="BW17" s="153" t="n"/>
      <c r="BX17" s="153" t="n"/>
      <c r="BY17" s="153" t="n"/>
      <c r="BZ17" s="153" t="n"/>
      <c r="CA17" s="153" t="n"/>
    </row>
    <row r="18" ht="54" customFormat="1" customHeight="1" s="53" thickBot="1">
      <c r="A18" s="197" t="n"/>
      <c r="B18" s="268" t="inlineStr">
        <is>
          <t>Study 2: Applications of Zero-Knowledge-Proofs to Social Science</t>
        </is>
      </c>
      <c r="C18" s="269" t="n">
        <v>0.8</v>
      </c>
      <c r="D18" s="78" t="n">
        <v>45779</v>
      </c>
      <c r="E18" s="78" t="n">
        <v>46144</v>
      </c>
      <c r="F18" s="182" t="n"/>
      <c r="G18" s="211">
        <f>IF(OR(ISBLANK(task_start),ISBLANK(task_end)),"",task_end-task_start+1)</f>
        <v/>
      </c>
      <c r="H18" s="270" t="inlineStr">
        <is>
          <t>Chp 3 - A Systematic Evolution of Cyber-Attribution Scholarship (2001-2025)</t>
        </is>
      </c>
      <c r="I18" s="282" t="n"/>
      <c r="J18" s="282" t="n"/>
      <c r="K18" s="282" t="n"/>
      <c r="L18" s="282" t="n"/>
      <c r="M18" s="282" t="n"/>
      <c r="N18" s="282" t="n"/>
      <c r="O18" s="282" t="n"/>
      <c r="P18" s="282" t="n"/>
      <c r="Q18" s="282" t="n"/>
      <c r="R18" s="282" t="n"/>
      <c r="S18" s="282" t="n"/>
      <c r="T18" s="292" t="n"/>
      <c r="U18" s="292" t="n"/>
      <c r="V18" s="282" t="n"/>
      <c r="W18" s="282" t="n"/>
      <c r="X18" s="282" t="n"/>
      <c r="Y18" s="282" t="n"/>
      <c r="Z18" s="282" t="n"/>
      <c r="AA18" s="282" t="n"/>
      <c r="AB18" s="282" t="n"/>
      <c r="AC18" s="282" t="n"/>
      <c r="AD18" s="282" t="n"/>
      <c r="AE18" s="282" t="n"/>
      <c r="AF18" s="282" t="n"/>
      <c r="AG18" s="282" t="n"/>
      <c r="AH18" s="282" t="n"/>
      <c r="AI18" s="282" t="n"/>
      <c r="AJ18" s="282" t="n"/>
      <c r="AK18" s="282" t="n"/>
      <c r="AL18" s="282" t="n"/>
      <c r="AM18" s="282" t="n"/>
      <c r="AN18" s="275" t="n"/>
      <c r="AO18" s="282" t="n"/>
      <c r="AP18" s="282" t="n"/>
      <c r="AQ18" s="282" t="n"/>
      <c r="AR18" s="282" t="n"/>
      <c r="AS18" s="273" t="n"/>
      <c r="AT18" s="283" t="n"/>
      <c r="AU18" s="283" t="n"/>
      <c r="AV18" s="283" t="n"/>
      <c r="AW18" s="283" t="n"/>
      <c r="AX18" s="283" t="n"/>
      <c r="AY18" s="283" t="n"/>
      <c r="AZ18" s="283" t="n"/>
      <c r="BA18" s="282" t="n"/>
      <c r="BB18" s="282" t="n"/>
      <c r="BC18" s="282" t="n"/>
      <c r="BD18" s="282" t="n"/>
      <c r="BE18" s="284" t="n"/>
      <c r="BF18" s="284" t="n"/>
      <c r="BG18" s="156" t="n"/>
      <c r="BH18" s="153" t="n"/>
      <c r="BI18" s="153" t="n"/>
      <c r="BJ18" s="153" t="n"/>
      <c r="BK18" s="153" t="n"/>
      <c r="BL18" s="153" t="n"/>
      <c r="BM18" s="153" t="n"/>
      <c r="BN18" s="153" t="n"/>
      <c r="BO18" s="153" t="n"/>
      <c r="BP18" s="153" t="n"/>
      <c r="BQ18" s="153" t="n"/>
      <c r="BR18" s="153" t="n"/>
      <c r="BS18" s="153" t="n"/>
      <c r="BT18" s="153" t="n"/>
      <c r="BU18" s="153" t="n"/>
      <c r="BV18" s="153" t="n"/>
      <c r="BW18" s="153" t="n"/>
      <c r="BX18" s="153" t="n"/>
      <c r="BY18" s="153" t="n"/>
      <c r="BZ18" s="153" t="n"/>
      <c r="CA18" s="153" t="n"/>
    </row>
    <row r="19" ht="54" customFormat="1" customHeight="1" s="53" thickBot="1">
      <c r="A19" s="197" t="n"/>
      <c r="B19" s="268" t="inlineStr">
        <is>
          <t>Study 3: Cyber Due Diligence as a Standard for Attribution</t>
        </is>
      </c>
      <c r="C19" s="269" t="n">
        <v>1</v>
      </c>
      <c r="D19" s="78" t="n">
        <v>44927</v>
      </c>
      <c r="E19" s="78" t="n">
        <v>45960</v>
      </c>
      <c r="F19" s="182" t="n"/>
      <c r="G19" s="183">
        <f>IF(OR(ISBLANK(task_start),ISBLANK(task_end)),"",task_end-task_start+1)</f>
        <v/>
      </c>
      <c r="H19" s="270" t="inlineStr">
        <is>
          <t>Chp 4 - Zero Knowledge Proofs in the Attribution of International Cyber Incidents: The value of opacity</t>
        </is>
      </c>
      <c r="I19" s="282" t="n"/>
      <c r="J19" s="282" t="n"/>
      <c r="K19" s="282" t="n"/>
      <c r="L19" s="275" t="n"/>
      <c r="M19" s="283" t="n"/>
      <c r="N19" s="283" t="n"/>
      <c r="O19" s="283" t="n"/>
      <c r="P19" s="283" t="n"/>
      <c r="Q19" s="283" t="n"/>
      <c r="R19" s="283" t="n"/>
      <c r="S19" s="283" t="n"/>
      <c r="T19" s="282" t="n"/>
      <c r="U19" s="282" t="n"/>
      <c r="V19" s="282" t="n"/>
      <c r="W19" s="282" t="n"/>
      <c r="X19" s="282" t="n"/>
      <c r="Y19" s="282" t="n"/>
      <c r="Z19" s="282" t="n"/>
      <c r="AA19" s="282" t="n"/>
      <c r="AB19" s="282" t="n"/>
      <c r="AC19" s="274" t="n"/>
      <c r="AD19" s="282" t="n"/>
      <c r="AE19" s="282" t="n"/>
      <c r="AF19" s="282" t="n"/>
      <c r="AG19" s="282" t="n"/>
      <c r="AH19" s="282" t="n"/>
      <c r="AI19" s="282" t="n"/>
      <c r="AJ19" s="282" t="n"/>
      <c r="AK19" s="282" t="n"/>
      <c r="AL19" s="282" t="n"/>
      <c r="AM19" s="282" t="n"/>
      <c r="AN19" s="282" t="n"/>
      <c r="AO19" s="282" t="n"/>
      <c r="AP19" s="282" t="n"/>
      <c r="AQ19" s="282" t="n"/>
      <c r="AR19" s="282" t="n"/>
      <c r="AS19" s="282" t="n"/>
      <c r="AT19" s="276" t="n"/>
      <c r="AU19" s="282" t="n"/>
      <c r="AV19" s="282" t="n"/>
      <c r="AW19" s="282" t="n"/>
      <c r="AX19" s="282" t="n"/>
      <c r="AY19" s="282" t="n"/>
      <c r="AZ19" s="282" t="n"/>
      <c r="BA19" s="282" t="n"/>
      <c r="BB19" s="282" t="n"/>
      <c r="BC19" s="282" t="n"/>
      <c r="BD19" s="282" t="n"/>
      <c r="BE19" s="284" t="n"/>
      <c r="BF19" s="284" t="n"/>
      <c r="BG19" s="156" t="n"/>
      <c r="BH19" s="153" t="n"/>
      <c r="BI19" s="153" t="n"/>
      <c r="BJ19" s="153" t="n"/>
      <c r="BK19" s="153" t="n"/>
      <c r="BL19" s="153" t="n"/>
      <c r="BM19" s="153" t="n"/>
      <c r="BN19" s="153" t="n"/>
      <c r="BO19" s="153" t="n"/>
      <c r="BP19" s="153" t="n"/>
      <c r="BQ19" s="153" t="n"/>
      <c r="BR19" s="153" t="n"/>
      <c r="BS19" s="153" t="n"/>
      <c r="BT19" s="153" t="n"/>
      <c r="BU19" s="153" t="n"/>
      <c r="BV19" s="153" t="n"/>
      <c r="BW19" s="153" t="n"/>
      <c r="BX19" s="153" t="n"/>
      <c r="BY19" s="153" t="n"/>
      <c r="BZ19" s="153" t="n"/>
      <c r="CA19" s="153" t="n"/>
    </row>
    <row r="20" ht="54" customFormat="1" customHeight="1" s="53" thickBot="1">
      <c r="A20" s="197" t="n"/>
      <c r="B20" s="268" t="inlineStr">
        <is>
          <t>Article 1: Attribution of Cyber Incidents in International Politics</t>
        </is>
      </c>
      <c r="C20" s="269" t="n">
        <v>1</v>
      </c>
      <c r="D20" s="78" t="n">
        <v>45908</v>
      </c>
      <c r="E20" s="78" t="n">
        <v>46106</v>
      </c>
      <c r="F20" s="182" t="n"/>
      <c r="G20" s="183">
        <f>IF(OR(ISBLANK(task_start),ISBLANK(task_end)),"",task_end-task_start+1)</f>
        <v/>
      </c>
      <c r="H20" s="270" t="inlineStr">
        <is>
          <t>Chp 5 - Reframing Evidence in Cyber Attribution: The 3C Framework</t>
        </is>
      </c>
      <c r="I20" s="282" t="n"/>
      <c r="J20" s="282" t="n"/>
      <c r="K20" s="282" t="n"/>
      <c r="L20" s="282" t="n"/>
      <c r="M20" s="282" t="n"/>
      <c r="N20" s="282" t="n"/>
      <c r="O20" s="282" t="n"/>
      <c r="P20" s="282" t="n"/>
      <c r="Q20" s="282" t="n"/>
      <c r="R20" s="282" t="n"/>
      <c r="S20" s="282" t="n"/>
      <c r="T20" s="282" t="n"/>
      <c r="U20" s="282" t="n"/>
      <c r="V20" s="282" t="n"/>
      <c r="W20" s="290" t="n"/>
      <c r="X20" s="283" t="n"/>
      <c r="Y20" s="283" t="n"/>
      <c r="Z20" s="273" t="n"/>
      <c r="AA20" s="283" t="n"/>
      <c r="AB20" s="283" t="n"/>
      <c r="AC20" s="283" t="n"/>
      <c r="AD20" s="283" t="n"/>
      <c r="AE20" s="283" t="n"/>
      <c r="AF20" s="283" t="n"/>
      <c r="AG20" s="283" t="n"/>
      <c r="AH20" s="282" t="n"/>
      <c r="AI20" s="282" t="n"/>
      <c r="AJ20" s="274" t="n"/>
      <c r="AK20" s="282" t="n"/>
      <c r="AL20" s="282" t="n"/>
      <c r="AM20" s="282" t="n"/>
      <c r="AN20" s="282" t="n"/>
      <c r="AO20" s="282" t="n"/>
      <c r="AP20" s="282" t="n"/>
      <c r="AQ20" s="282" t="n"/>
      <c r="AR20" s="275" t="n"/>
      <c r="AS20" s="282" t="n"/>
      <c r="AT20" s="276" t="n"/>
      <c r="AU20" s="282" t="n"/>
      <c r="AV20" s="282" t="n"/>
      <c r="AW20" s="282" t="n"/>
      <c r="AX20" s="282" t="n"/>
      <c r="AY20" s="282" t="n"/>
      <c r="AZ20" s="282" t="n"/>
      <c r="BA20" s="282" t="n"/>
      <c r="BB20" s="282" t="n"/>
      <c r="BC20" s="282" t="n"/>
      <c r="BD20" s="282" t="n"/>
      <c r="BE20" s="288" t="n"/>
      <c r="BF20" s="289" t="n"/>
      <c r="BG20" s="156" t="n"/>
      <c r="BH20" s="156" t="n"/>
      <c r="BI20" s="156" t="n"/>
      <c r="BJ20" s="156" t="n"/>
      <c r="BK20" s="156" t="n"/>
      <c r="BL20" s="156" t="n"/>
      <c r="BM20" s="156" t="n"/>
      <c r="BN20" s="156" t="n"/>
      <c r="BO20" s="156" t="n"/>
      <c r="BP20" s="153" t="n"/>
      <c r="BQ20" s="153" t="n"/>
      <c r="BR20" s="153" t="n"/>
      <c r="BS20" s="153" t="n"/>
      <c r="BT20" s="153" t="n"/>
      <c r="BU20" s="153" t="n"/>
      <c r="BV20" s="153" t="n"/>
      <c r="BW20" s="153" t="n"/>
      <c r="BX20" s="153" t="n"/>
      <c r="BY20" s="153" t="n"/>
      <c r="BZ20" s="153" t="n"/>
      <c r="CA20" s="153" t="n"/>
    </row>
    <row r="21" ht="54" customFormat="1" customHeight="1" s="53" thickBot="1">
      <c r="A21" s="197" t="n"/>
      <c r="B21" s="268" t="inlineStr">
        <is>
          <t>Zero-knowledge attribution and international law - meeting the standard of proof in cyberspace</t>
        </is>
      </c>
      <c r="C21" s="269" t="n">
        <v>1</v>
      </c>
      <c r="D21" s="78" t="n">
        <v>45602</v>
      </c>
      <c r="E21" s="78" t="n">
        <v>45935</v>
      </c>
      <c r="F21" s="182" t="n"/>
      <c r="G21" s="183">
        <f>IF(OR(ISBLANK(task_start),ISBLANK(task_end)),"",task_end-task_start+1)</f>
        <v/>
      </c>
      <c r="H21" s="270" t="inlineStr">
        <is>
          <t>Chp 6 - Secrecy in International Adjudication A Zero-Knowledge Cyber Attribution Case before the ICJ</t>
        </is>
      </c>
      <c r="I21" s="282" t="n"/>
      <c r="J21" s="282" t="n"/>
      <c r="K21" s="282" t="n"/>
      <c r="L21" s="282" t="n"/>
      <c r="M21" s="282" t="n"/>
      <c r="N21" s="282" t="n"/>
      <c r="O21" s="282" t="n"/>
      <c r="P21" s="282" t="n"/>
      <c r="Q21" s="282" t="n"/>
      <c r="R21" s="282" t="n"/>
      <c r="S21" s="282" t="n"/>
      <c r="T21" s="282" t="n"/>
      <c r="U21" s="282" t="n"/>
      <c r="V21" s="282" t="n"/>
      <c r="W21" s="282" t="n"/>
      <c r="X21" s="282" t="n"/>
      <c r="Y21" s="282" t="n"/>
      <c r="Z21" s="282" t="n"/>
      <c r="AA21" s="282" t="n"/>
      <c r="AB21" s="282" t="n"/>
      <c r="AC21" s="282" t="n"/>
      <c r="AD21" s="282" t="n"/>
      <c r="AE21" s="282" t="n"/>
      <c r="AF21" s="282" t="n"/>
      <c r="AG21" s="282" t="n"/>
      <c r="AH21" s="275" t="n"/>
      <c r="AI21" s="283" t="n"/>
      <c r="AJ21" s="283" t="n"/>
      <c r="AK21" s="283" t="n"/>
      <c r="AL21" s="283" t="n"/>
      <c r="AM21" s="283" t="n"/>
      <c r="AN21" s="283" t="n"/>
      <c r="AO21" s="283" t="n"/>
      <c r="AP21" s="282" t="n"/>
      <c r="AQ21" s="282" t="n"/>
      <c r="AR21" s="282" t="n"/>
      <c r="AS21" s="282" t="n"/>
      <c r="AT21" s="282" t="n"/>
      <c r="AU21" s="282" t="n"/>
      <c r="AV21" s="282" t="n"/>
      <c r="AW21" s="282" t="n"/>
      <c r="AX21" s="282" t="n"/>
      <c r="AY21" s="282" t="n"/>
      <c r="AZ21" s="282" t="n"/>
      <c r="BA21" s="282" t="n"/>
      <c r="BB21" s="282" t="n"/>
      <c r="BC21" s="282" t="n"/>
      <c r="BD21" s="282" t="n"/>
      <c r="BE21" s="288" t="n"/>
      <c r="BF21" s="289" t="n"/>
      <c r="BG21" s="156" t="n"/>
      <c r="BH21" s="156" t="n"/>
      <c r="BI21" s="156" t="n"/>
      <c r="BJ21" s="156" t="n"/>
      <c r="BK21" s="156" t="n"/>
      <c r="BL21" s="156" t="n"/>
      <c r="BM21" s="156" t="n"/>
      <c r="BN21" s="156" t="n"/>
      <c r="BO21" s="156" t="n"/>
      <c r="BP21" s="153" t="n"/>
      <c r="BQ21" s="153" t="n"/>
      <c r="BR21" s="153" t="n"/>
      <c r="BS21" s="153" t="n"/>
      <c r="BT21" s="153" t="n"/>
      <c r="BU21" s="153" t="n"/>
      <c r="BV21" s="153" t="n"/>
      <c r="BW21" s="153" t="n"/>
      <c r="BX21" s="153" t="n"/>
      <c r="BY21" s="153" t="n"/>
      <c r="BZ21" s="153" t="n"/>
      <c r="CA21" s="153" t="n"/>
    </row>
    <row r="22" ht="54" customFormat="1" customHeight="1" s="53" thickBot="1">
      <c r="A22" s="197" t="n"/>
      <c r="B22" s="247" t="inlineStr">
        <is>
          <t>Conclusion</t>
        </is>
      </c>
      <c r="C22" s="248" t="n">
        <v>0</v>
      </c>
      <c r="D22" s="249" t="n">
        <v>46117</v>
      </c>
      <c r="E22" s="249" t="n">
        <v>46148</v>
      </c>
      <c r="F22" s="216" t="n"/>
      <c r="G22" s="217" t="n"/>
      <c r="H22" s="270" t="inlineStr">
        <is>
          <t>Chp 7 - Conclusion</t>
        </is>
      </c>
      <c r="I22" s="282" t="n"/>
      <c r="J22" s="282" t="n"/>
      <c r="K22" s="282" t="n"/>
      <c r="L22" s="282" t="n"/>
      <c r="M22" s="282" t="n"/>
      <c r="N22" s="282" t="n"/>
      <c r="O22" s="282" t="n"/>
      <c r="P22" s="282" t="n"/>
      <c r="Q22" s="282" t="n"/>
      <c r="R22" s="282" t="n"/>
      <c r="S22" s="282" t="n"/>
      <c r="T22" s="282" t="n"/>
      <c r="U22" s="282" t="n"/>
      <c r="V22" s="282" t="n"/>
      <c r="W22" s="282" t="n"/>
      <c r="X22" s="282" t="n"/>
      <c r="Y22" s="282" t="n"/>
      <c r="Z22" s="282" t="n"/>
      <c r="AA22" s="282" t="n"/>
      <c r="AB22" s="282" t="n"/>
      <c r="AC22" s="282" t="n"/>
      <c r="AD22" s="282" t="n"/>
      <c r="AE22" s="282" t="n"/>
      <c r="AF22" s="282" t="n"/>
      <c r="AG22" s="282" t="n"/>
      <c r="AH22" s="282" t="n"/>
      <c r="AI22" s="282" t="n"/>
      <c r="AJ22" s="282" t="n"/>
      <c r="AK22" s="282" t="n"/>
      <c r="AL22" s="282" t="n"/>
      <c r="AM22" s="282" t="n"/>
      <c r="AN22" s="282" t="n"/>
      <c r="AO22" s="282" t="n"/>
      <c r="AP22" s="282" t="n"/>
      <c r="AQ22" s="282" t="n"/>
      <c r="AR22" s="282" t="n"/>
      <c r="AS22" s="282" t="n"/>
      <c r="AT22" s="282" t="n"/>
      <c r="AU22" s="282" t="n"/>
      <c r="AV22" s="282" t="n"/>
      <c r="AW22" s="282" t="n"/>
      <c r="AX22" s="273" t="n"/>
      <c r="AY22" s="275" t="n"/>
      <c r="AZ22" s="282" t="n"/>
      <c r="BA22" s="282" t="n"/>
      <c r="BB22" s="282" t="n"/>
      <c r="BC22" s="282" t="n"/>
      <c r="BD22" s="282" t="n"/>
      <c r="BE22" s="284" t="n"/>
      <c r="BF22" s="284" t="n"/>
      <c r="BG22" s="153" t="n"/>
      <c r="BH22" s="156" t="n"/>
      <c r="BI22" s="156" t="n"/>
      <c r="BJ22" s="156" t="n"/>
      <c r="BK22" s="156" t="n"/>
      <c r="BL22" s="153" t="n"/>
      <c r="BM22" s="153" t="n"/>
      <c r="BN22" s="153" t="n"/>
      <c r="BO22" s="153" t="n"/>
      <c r="BP22" s="153" t="n"/>
      <c r="BQ22" s="153" t="n"/>
      <c r="BR22" s="153" t="n"/>
      <c r="BS22" s="153" t="n"/>
      <c r="BT22" s="153" t="n"/>
      <c r="BU22" s="153" t="n"/>
      <c r="BV22" s="153" t="n"/>
      <c r="BW22" s="153" t="n"/>
      <c r="BX22" s="153" t="n"/>
      <c r="BY22" s="153" t="n"/>
      <c r="BZ22" s="153" t="n"/>
      <c r="CA22" s="153" t="n"/>
    </row>
    <row r="23" ht="48" customFormat="1" customHeight="1" s="53" thickBot="1">
      <c r="A23" s="178" t="n"/>
      <c r="B23" s="278" t="n"/>
      <c r="C23" s="279" t="n"/>
      <c r="D23" s="78" t="n"/>
      <c r="E23" s="78" t="n"/>
      <c r="F23" s="182" t="n"/>
      <c r="G23" s="183">
        <f>IF(OR(ISBLANK(task_start),ISBLANK(task_end)),"",task_end-task_start+1)</f>
        <v/>
      </c>
      <c r="H23" s="282" t="n"/>
      <c r="I23" s="282" t="n"/>
      <c r="J23" s="282" t="n"/>
      <c r="K23" s="282" t="n"/>
      <c r="L23" s="282" t="n"/>
      <c r="M23" s="282" t="n"/>
      <c r="N23" s="282" t="n"/>
      <c r="O23" s="282" t="n"/>
      <c r="P23" s="282" t="n"/>
      <c r="Q23" s="282" t="n"/>
      <c r="R23" s="282" t="n"/>
      <c r="S23" s="282" t="n"/>
      <c r="T23" s="282" t="n"/>
      <c r="U23" s="282" t="n"/>
      <c r="V23" s="282" t="n"/>
      <c r="W23" s="290" t="n"/>
      <c r="X23" s="284" t="n"/>
      <c r="Y23" s="284" t="n"/>
      <c r="Z23" s="284" t="n"/>
      <c r="AA23" s="284" t="n"/>
      <c r="AB23" s="284" t="n"/>
      <c r="AC23" s="284" t="n"/>
      <c r="AD23" s="284" t="n"/>
      <c r="AE23" s="284" t="n"/>
      <c r="AF23" s="284" t="n"/>
      <c r="AG23" s="284" t="n"/>
      <c r="AH23" s="282" t="n"/>
      <c r="AI23" s="282" t="n"/>
      <c r="AJ23" s="282" t="n"/>
      <c r="AK23" s="282" t="n"/>
      <c r="AL23" s="282" t="n"/>
      <c r="AM23" s="282" t="n"/>
      <c r="AN23" s="282" t="n"/>
      <c r="AO23" s="282" t="n"/>
      <c r="AP23" s="282" t="n"/>
      <c r="AQ23" s="282" t="n"/>
      <c r="AR23" s="282" t="n"/>
      <c r="AS23" s="282" t="n"/>
      <c r="AT23" s="282" t="n"/>
      <c r="AU23" s="282" t="n"/>
      <c r="AV23" s="282" t="n"/>
      <c r="AW23" s="282" t="n"/>
      <c r="AX23" s="282" t="n"/>
      <c r="AY23" s="282" t="n"/>
      <c r="AZ23" s="282" t="n"/>
      <c r="BA23" s="273" t="n"/>
      <c r="BB23" s="282" t="n"/>
      <c r="BC23" s="282" t="n"/>
      <c r="BD23" s="282" t="n"/>
      <c r="BE23" s="293" t="n"/>
      <c r="BF23" s="293" t="n"/>
      <c r="BG23" s="156" t="n"/>
      <c r="BH23" s="156" t="n"/>
      <c r="BI23" s="156" t="n"/>
      <c r="BJ23" s="156" t="n"/>
      <c r="BK23" s="156" t="n"/>
      <c r="BL23" s="156" t="n"/>
      <c r="BM23" s="156" t="n"/>
      <c r="BN23" s="156" t="n"/>
      <c r="BO23" s="156" t="n"/>
      <c r="BP23" s="153" t="n"/>
      <c r="BQ23" s="153" t="n"/>
      <c r="BR23" s="153" t="n"/>
      <c r="BS23" s="153" t="n"/>
      <c r="BT23" s="153" t="n"/>
      <c r="BU23" s="153" t="n"/>
      <c r="BV23" s="153" t="n"/>
      <c r="BW23" s="153" t="n"/>
      <c r="BX23" s="153" t="n"/>
      <c r="BY23" s="153" t="n"/>
      <c r="BZ23" s="153" t="n"/>
      <c r="CA23" s="153" t="n"/>
    </row>
    <row r="24" ht="30" customHeight="1" s="127" thickBot="1">
      <c r="C24" s="82" t="n"/>
      <c r="D24" s="83" t="n"/>
      <c r="E24" s="83" t="n"/>
      <c r="F24" s="84" t="n"/>
      <c r="G24" s="85" t="n"/>
      <c r="H24" s="86" t="n"/>
      <c r="I24" s="86" t="n"/>
      <c r="J24" s="86" t="n"/>
      <c r="K24" s="86" t="n"/>
      <c r="L24" s="86" t="n"/>
      <c r="M24" s="86" t="n"/>
      <c r="N24" s="86" t="n"/>
      <c r="O24" s="86" t="n"/>
      <c r="P24" s="86" t="n"/>
      <c r="Q24" s="86" t="n"/>
      <c r="R24" s="86" t="n"/>
      <c r="S24" s="86" t="n"/>
      <c r="T24" s="86" t="n"/>
      <c r="U24" s="86" t="n"/>
      <c r="V24" s="86" t="n"/>
      <c r="W24" s="86" t="n"/>
      <c r="X24" s="86" t="n"/>
      <c r="Y24" s="86" t="n"/>
      <c r="Z24" s="86" t="n"/>
      <c r="AA24" s="86" t="n"/>
      <c r="AB24" s="86" t="n"/>
      <c r="AC24" s="86" t="n"/>
      <c r="AD24" s="86" t="n"/>
      <c r="AE24" s="86" t="n"/>
      <c r="AF24" s="86" t="n"/>
      <c r="AG24" s="86" t="n"/>
      <c r="AH24" s="86" t="n"/>
      <c r="AI24" s="86" t="n"/>
      <c r="AJ24" s="86" t="n"/>
      <c r="AK24" s="86" t="n"/>
      <c r="AL24" s="86" t="n"/>
      <c r="AM24" s="86" t="n"/>
      <c r="AN24" s="86" t="n"/>
      <c r="AO24" s="86" t="n"/>
      <c r="AP24" s="86" t="n"/>
      <c r="AQ24" s="86" t="n"/>
      <c r="AR24" s="86" t="n"/>
      <c r="AS24" s="86" t="n"/>
      <c r="AT24" s="86" t="n"/>
      <c r="AU24" s="86" t="n"/>
      <c r="AV24" s="86" t="n"/>
      <c r="AW24" s="86" t="n"/>
      <c r="AX24" s="86" t="n"/>
      <c r="AY24" s="86" t="n"/>
      <c r="AZ24" s="86" t="n"/>
      <c r="BA24" s="86" t="n"/>
      <c r="BB24" s="86" t="n"/>
      <c r="BC24" s="86" t="n"/>
      <c r="BD24" s="86" t="inlineStr">
        <is>
          <t>Thesis submission</t>
        </is>
      </c>
    </row>
    <row r="25" ht="30" customHeight="1" s="127" thickBot="1">
      <c r="C25" s="54" t="n"/>
      <c r="D25" s="43" t="n"/>
      <c r="E25" s="48" t="n"/>
      <c r="F25" s="13" t="n"/>
      <c r="G25" s="4">
        <f>IF(OR(ISBLANK(task_start),ISBLANK(task_end)),"",task_end-task_start+1)</f>
        <v/>
      </c>
      <c r="H25" s="34" t="n"/>
      <c r="I25" s="34" t="n"/>
      <c r="J25" s="34" t="n"/>
      <c r="K25" s="34" t="n"/>
      <c r="L25" s="34" t="n"/>
      <c r="M25" s="34" t="n"/>
      <c r="N25" s="34" t="n"/>
      <c r="O25" s="34" t="n"/>
      <c r="P25" s="34" t="n"/>
      <c r="Q25" s="34" t="n"/>
      <c r="R25" s="34" t="n"/>
      <c r="S25" s="34" t="n"/>
      <c r="T25" s="34" t="n"/>
      <c r="U25" s="34" t="n"/>
      <c r="V25" s="34" t="n"/>
      <c r="W25" s="34" t="n"/>
      <c r="X25" s="34" t="n"/>
      <c r="Y25" s="34" t="n"/>
      <c r="Z25" s="34" t="n"/>
      <c r="AA25" s="34" t="n"/>
      <c r="AB25" s="34" t="n"/>
      <c r="AC25" s="34" t="n"/>
      <c r="AD25" s="34" t="n"/>
      <c r="AE25" s="34" t="n"/>
      <c r="AF25" s="34" t="n"/>
      <c r="AG25" s="34" t="n"/>
      <c r="AH25" s="34" t="n"/>
      <c r="AI25" s="34" t="n"/>
      <c r="AJ25" s="34" t="n"/>
      <c r="AK25" s="34" t="n"/>
      <c r="AL25" s="34" t="n"/>
      <c r="AM25" s="34" t="n"/>
      <c r="AN25" s="34" t="n"/>
      <c r="AO25" s="34" t="n"/>
      <c r="AP25" s="34" t="n"/>
      <c r="AQ25" s="34" t="n"/>
      <c r="AR25" s="34" t="n"/>
      <c r="AS25" s="34" t="n"/>
      <c r="AT25" s="34" t="n"/>
      <c r="AU25" s="34" t="n"/>
      <c r="AV25" s="34" t="n"/>
      <c r="AW25" s="34" t="n"/>
      <c r="AX25" s="34" t="n"/>
      <c r="AY25" s="34" t="n"/>
      <c r="AZ25" s="34" t="n"/>
      <c r="BA25" s="34" t="n"/>
      <c r="BB25" s="34" t="n"/>
      <c r="BC25" s="34" t="n"/>
      <c r="BD25" s="34" t="n"/>
    </row>
    <row r="26" ht="30" customHeight="1" s="127">
      <c r="F26" s="2" t="n"/>
    </row>
    <row r="27" ht="30" customHeight="1" s="127">
      <c r="E27" s="50" t="n"/>
    </row>
    <row r="28" s="127"/>
    <row r="29" s="127"/>
    <row r="30" s="127"/>
    <row r="31" s="127"/>
    <row r="32" s="127"/>
    <row r="33" s="127"/>
    <row r="34" s="127"/>
    <row r="35" s="127"/>
    <row r="36" s="127"/>
    <row r="37" s="127"/>
    <row r="38" s="127"/>
    <row r="39" s="127"/>
    <row r="40" s="127"/>
    <row r="41" s="127"/>
    <row r="42" s="127"/>
    <row r="43" s="127"/>
    <row r="44" s="127"/>
    <row r="45" s="127"/>
    <row r="46" s="127"/>
    <row r="47" s="127"/>
    <row r="48" s="127"/>
    <row r="49" s="127"/>
    <row r="50" s="127"/>
    <row r="51" s="127"/>
    <row r="52" s="127"/>
    <row r="53" s="127"/>
    <row r="54" s="127"/>
    <row r="55" s="127"/>
    <row r="56" s="127"/>
    <row r="57" s="127"/>
    <row r="58" s="127"/>
    <row r="59" s="127"/>
    <row r="60" s="127"/>
    <row r="61" s="127"/>
    <row r="62" s="127"/>
    <row r="63" s="127"/>
    <row r="64" s="127"/>
    <row r="65" s="127"/>
    <row r="66" s="127"/>
    <row r="67" s="127"/>
    <row r="68" s="127"/>
    <row r="69" s="127"/>
    <row r="70" s="127"/>
    <row r="71" s="127"/>
    <row r="72" s="127"/>
    <row r="73" s="127"/>
    <row r="74" s="127"/>
    <row r="75" s="127"/>
    <row r="76" s="127"/>
    <row r="77" s="127"/>
    <row r="78" s="127"/>
    <row r="79" s="127"/>
    <row r="80" s="127"/>
    <row r="81" s="127"/>
    <row r="82" s="127"/>
    <row r="83" s="127"/>
    <row r="84" s="127"/>
    <row r="85" s="127"/>
    <row r="86" s="127"/>
    <row r="87" s="127"/>
    <row r="88" s="127"/>
    <row r="89" s="127"/>
    <row r="90" s="127"/>
    <row r="91" s="127"/>
    <row r="92" s="127"/>
    <row r="93" s="127"/>
    <row r="94" s="127"/>
    <row r="95" s="127"/>
    <row r="96" s="127"/>
    <row r="97" s="127"/>
    <row r="98" s="127"/>
    <row r="99" s="127"/>
    <row r="100" s="127"/>
    <row r="101" s="127"/>
    <row r="102" s="127"/>
    <row r="103" s="127"/>
    <row r="104" s="127"/>
    <row r="105" s="127"/>
    <row r="106" s="127"/>
    <row r="107" s="127"/>
    <row r="108" s="127"/>
    <row r="109" s="127"/>
    <row r="110" s="127"/>
    <row r="111" s="127"/>
    <row r="112" s="127"/>
    <row r="113" s="127"/>
    <row r="114" s="127"/>
    <row r="115" s="127"/>
    <row r="116" s="127"/>
    <row r="117" s="127"/>
    <row r="118" s="127"/>
    <row r="119" s="127"/>
    <row r="120" s="127"/>
    <row r="121" s="127"/>
    <row r="122" s="127"/>
    <row r="123" s="127"/>
    <row r="124" s="127"/>
    <row r="125" s="127"/>
    <row r="126" s="127"/>
    <row r="127" s="127"/>
    <row r="128" s="127"/>
    <row r="129" s="127"/>
    <row r="130" s="127"/>
    <row r="131" s="127"/>
    <row r="132" s="127"/>
    <row r="133" s="127"/>
    <row r="134" s="127"/>
    <row r="135" s="127"/>
    <row r="136" s="127"/>
    <row r="137" s="127"/>
    <row r="138" s="127"/>
    <row r="139" s="127"/>
    <row r="140" s="127"/>
    <row r="141" s="127"/>
    <row r="142" s="127"/>
    <row r="143" s="127"/>
    <row r="144" s="127"/>
    <row r="145" s="127"/>
    <row r="146" s="127"/>
    <row r="147" s="127"/>
    <row r="148" s="127"/>
    <row r="149" s="127"/>
    <row r="150" s="127"/>
    <row r="151" s="127"/>
    <row r="152" s="127"/>
    <row r="153" s="127"/>
    <row r="154" s="127"/>
    <row r="155" s="127"/>
    <row r="156" s="127"/>
    <row r="157" s="127"/>
    <row r="158" s="127"/>
    <row r="159" s="127"/>
    <row r="160" s="127"/>
    <row r="161" s="127"/>
    <row r="162" s="127"/>
    <row r="163" s="127"/>
    <row r="164" s="127"/>
    <row r="165" s="127"/>
    <row r="166" s="127"/>
    <row r="167" s="127"/>
    <row r="168" s="127"/>
    <row r="169" s="127"/>
    <row r="170" s="127"/>
    <row r="171" s="127"/>
    <row r="172" s="127"/>
    <row r="173" s="127"/>
    <row r="174" s="127"/>
    <row r="175" s="127"/>
    <row r="176" s="127"/>
    <row r="177" s="127"/>
    <row r="178" s="127"/>
    <row r="179" s="127"/>
    <row r="180" s="127"/>
    <row r="181" s="127"/>
    <row r="182" s="127"/>
    <row r="183" s="127"/>
    <row r="184" s="127"/>
    <row r="185" s="127"/>
    <row r="186" s="127"/>
    <row r="187" s="127"/>
    <row r="188" s="127"/>
    <row r="189" s="127"/>
    <row r="190" s="127"/>
    <row r="191" s="127"/>
    <row r="192" s="127"/>
    <row r="193" s="127"/>
    <row r="194" s="127"/>
    <row r="195" s="127"/>
    <row r="196" s="127"/>
    <row r="197" s="127"/>
    <row r="198" s="127"/>
    <row r="199" s="127"/>
    <row r="200" s="127"/>
    <row r="201" s="127"/>
    <row r="202" s="127"/>
    <row r="203" s="127"/>
    <row r="204" s="127"/>
    <row r="205" s="127"/>
    <row r="206" s="127"/>
    <row r="207" s="127"/>
    <row r="208" s="127"/>
    <row r="209" s="127"/>
    <row r="210" s="127"/>
    <row r="211" s="127"/>
    <row r="212" s="127"/>
    <row r="213" s="127"/>
    <row r="214" s="127"/>
    <row r="215" s="127"/>
    <row r="216" s="127"/>
    <row r="217" s="127"/>
    <row r="218" s="127"/>
    <row r="219" s="127"/>
    <row r="220" s="127"/>
    <row r="221" s="127"/>
    <row r="222" s="127"/>
    <row r="223" s="127"/>
    <row r="224" s="127"/>
    <row r="225" s="127"/>
    <row r="226" s="127"/>
    <row r="227" s="127"/>
    <row r="228" s="127"/>
    <row r="229" s="127"/>
    <row r="230" s="127"/>
    <row r="231" s="127"/>
    <row r="232" s="127"/>
    <row r="233" s="127"/>
    <row r="234" s="127"/>
    <row r="235" s="127"/>
    <row r="236" s="127"/>
    <row r="237" s="127"/>
    <row r="238" s="127"/>
    <row r="239" s="127"/>
    <row r="240" s="127"/>
    <row r="241" s="127"/>
    <row r="242" s="127"/>
    <row r="243" s="127"/>
    <row r="244" s="127"/>
    <row r="245" s="127"/>
    <row r="246" s="127"/>
    <row r="247" s="127"/>
    <row r="248" s="127"/>
    <row r="249" s="127"/>
    <row r="250" s="127"/>
    <row r="251" s="127"/>
    <row r="252" s="127"/>
    <row r="253" s="127"/>
    <row r="254" s="127"/>
    <row r="255" s="127"/>
    <row r="256" s="127"/>
    <row r="257" s="127"/>
    <row r="258" s="127"/>
    <row r="259" s="127"/>
    <row r="260" s="127"/>
    <row r="261" s="127"/>
    <row r="262" s="127"/>
    <row r="263" s="127"/>
    <row r="264" s="127"/>
    <row r="265" s="127"/>
    <row r="266" s="127"/>
    <row r="267" s="127"/>
    <row r="268" s="127"/>
    <row r="269" s="127"/>
    <row r="270" s="127"/>
    <row r="271" s="127"/>
    <row r="272" s="127"/>
    <row r="273" s="127"/>
    <row r="274" s="127"/>
    <row r="275" s="127"/>
    <row r="276" s="127"/>
    <row r="277" s="127"/>
    <row r="278" s="127"/>
    <row r="279" s="127"/>
    <row r="280" s="127"/>
    <row r="281" s="127"/>
    <row r="282" s="127"/>
    <row r="283" s="127"/>
    <row r="284" s="127"/>
    <row r="285" s="127"/>
    <row r="286" s="127"/>
    <row r="287" s="127"/>
    <row r="288" s="127"/>
    <row r="289" s="127"/>
    <row r="290" s="127"/>
    <row r="291" s="127"/>
    <row r="292" s="127"/>
    <row r="293" s="127"/>
    <row r="294" s="127"/>
    <row r="295" s="127"/>
    <row r="296" s="127"/>
    <row r="297" s="127"/>
    <row r="298" s="127"/>
    <row r="299" s="127"/>
    <row r="300" s="127"/>
    <row r="301" s="127"/>
    <row r="302" s="127"/>
    <row r="303" s="127"/>
    <row r="304" s="127"/>
    <row r="305" s="127"/>
    <row r="306" s="127"/>
    <row r="307" s="127"/>
    <row r="308" s="127"/>
    <row r="309" s="127"/>
    <row r="310" s="127"/>
    <row r="311" s="127"/>
    <row r="312" s="127"/>
    <row r="313" s="127"/>
    <row r="314" s="127"/>
    <row r="315" s="127"/>
    <row r="316" s="127"/>
    <row r="317" s="127"/>
    <row r="318" s="127"/>
    <row r="319" s="127"/>
    <row r="320" s="127"/>
    <row r="321" s="127"/>
    <row r="322" s="127"/>
    <row r="323" s="127"/>
    <row r="324" s="127"/>
    <row r="325" s="127"/>
    <row r="326" s="127"/>
    <row r="327" s="127"/>
    <row r="328" s="127"/>
    <row r="329" s="127"/>
    <row r="330" s="127"/>
    <row r="331" s="127"/>
    <row r="332" s="127"/>
    <row r="333" s="127"/>
    <row r="334" s="127"/>
    <row r="335" s="127"/>
    <row r="336" s="127"/>
    <row r="337" s="127"/>
    <row r="338" s="127"/>
    <row r="339" s="127"/>
    <row r="340" s="127"/>
    <row r="341" s="127"/>
    <row r="342" s="127"/>
    <row r="343" s="127"/>
    <row r="344" s="127"/>
    <row r="345" s="127"/>
    <row r="346" s="127"/>
    <row r="347" s="127"/>
    <row r="348" s="127"/>
    <row r="349" s="127"/>
    <row r="350" s="127"/>
    <row r="351" s="127"/>
    <row r="352" s="127"/>
    <row r="353" s="127"/>
    <row r="354" s="127"/>
    <row r="355" s="127"/>
    <row r="356" s="127"/>
    <row r="357" s="127"/>
    <row r="358" s="127"/>
    <row r="359" s="127"/>
    <row r="360" s="127"/>
    <row r="361" s="127"/>
    <row r="362" s="127"/>
    <row r="363" s="127"/>
    <row r="364" s="127"/>
    <row r="365" s="127"/>
    <row r="366" s="127"/>
    <row r="367" s="127"/>
    <row r="368" s="127"/>
    <row r="369" s="127"/>
    <row r="370" s="127"/>
    <row r="371" s="127"/>
    <row r="372" s="127"/>
    <row r="373" s="127"/>
    <row r="374" s="127"/>
    <row r="375" s="127"/>
    <row r="376" s="127"/>
    <row r="377" s="127"/>
    <row r="378" s="127"/>
    <row r="379" s="127"/>
    <row r="380" s="127"/>
    <row r="381" s="127"/>
    <row r="382" s="127"/>
    <row r="383" s="127"/>
    <row r="384" s="127"/>
    <row r="385" s="127"/>
    <row r="386" s="127"/>
    <row r="387" s="127"/>
    <row r="388" s="127"/>
    <row r="389" s="127"/>
    <row r="390" s="127"/>
    <row r="391" s="127"/>
    <row r="392" s="127"/>
    <row r="393" s="127"/>
    <row r="394" s="127"/>
    <row r="395" s="127"/>
    <row r="396" s="127"/>
    <row r="397" s="127"/>
    <row r="398" s="127"/>
    <row r="399" s="127"/>
    <row r="400" s="127"/>
    <row r="401" s="127"/>
    <row r="402" s="127"/>
    <row r="403" s="127"/>
    <row r="404" s="127"/>
    <row r="405" s="127"/>
    <row r="406" s="127"/>
    <row r="407" s="127"/>
    <row r="408" s="127"/>
    <row r="409" s="127"/>
    <row r="410" s="127"/>
    <row r="411" s="127"/>
    <row r="412" s="127"/>
    <row r="413" s="127"/>
    <row r="414" s="127"/>
    <row r="415" s="127"/>
    <row r="416" s="127"/>
    <row r="417" s="127"/>
    <row r="418" s="127"/>
    <row r="419" s="127"/>
    <row r="420" s="127"/>
    <row r="421" s="127"/>
    <row r="422" s="127"/>
    <row r="423" s="127"/>
    <row r="424" s="127"/>
    <row r="425" s="127"/>
    <row r="426" s="127"/>
    <row r="427" s="127"/>
    <row r="428" s="127"/>
    <row r="429" s="127"/>
    <row r="430" s="127"/>
    <row r="431" s="127"/>
    <row r="432" s="127"/>
    <row r="433" s="127"/>
    <row r="434" s="127"/>
    <row r="435" s="127"/>
    <row r="436" s="127"/>
    <row r="437" s="127"/>
    <row r="438" s="127"/>
    <row r="439" s="127"/>
    <row r="440" s="127"/>
    <row r="441" s="127"/>
    <row r="442" s="127"/>
    <row r="443" s="127"/>
    <row r="444" s="127"/>
    <row r="445" s="127"/>
    <row r="446" s="127"/>
    <row r="447" s="127"/>
    <row r="448" s="127"/>
    <row r="449" s="127"/>
    <row r="450" s="127"/>
    <row r="451" s="127"/>
    <row r="452" s="127"/>
    <row r="453" s="127"/>
    <row r="454" s="127"/>
    <row r="455" s="127"/>
    <row r="456" s="127"/>
    <row r="457" s="127"/>
    <row r="458" s="127"/>
    <row r="459" s="127"/>
    <row r="460" s="127"/>
    <row r="461" s="127"/>
    <row r="462" s="127"/>
    <row r="463" s="127"/>
    <row r="464" s="127"/>
    <row r="465" s="127"/>
    <row r="466" s="127"/>
    <row r="467" s="127"/>
    <row r="468" s="127"/>
    <row r="469" s="127"/>
    <row r="470" s="127"/>
    <row r="471" s="127"/>
    <row r="472" s="127"/>
    <row r="473" s="127"/>
    <row r="474" s="127"/>
    <row r="475" s="127"/>
    <row r="476" s="127"/>
    <row r="477" s="127"/>
    <row r="478" s="127"/>
    <row r="479" s="127"/>
    <row r="480" s="127"/>
    <row r="481" s="127"/>
    <row r="482" s="127"/>
    <row r="483" s="127"/>
    <row r="484" s="127"/>
    <row r="485" s="127"/>
    <row r="486" s="127"/>
    <row r="487" s="127"/>
    <row r="488" s="127"/>
    <row r="489" s="127"/>
    <row r="490" s="127"/>
    <row r="491" s="127"/>
    <row r="492" s="127"/>
    <row r="493" s="127"/>
    <row r="494" s="127"/>
    <row r="495" s="127"/>
    <row r="496" s="127"/>
    <row r="497" s="127"/>
    <row r="498" s="127"/>
    <row r="499" s="127"/>
    <row r="500" s="127"/>
  </sheetData>
  <mergeCells count="14">
    <mergeCell ref="A5:A6"/>
    <mergeCell ref="H4:K4"/>
    <mergeCell ref="E5:E6"/>
    <mergeCell ref="P2:Y2"/>
    <mergeCell ref="AJ4:AU4"/>
    <mergeCell ref="H2:N2"/>
    <mergeCell ref="D5:D6"/>
    <mergeCell ref="W23:AG23"/>
    <mergeCell ref="X4:AI4"/>
    <mergeCell ref="L4:W4"/>
    <mergeCell ref="B5:B6"/>
    <mergeCell ref="H1:N1"/>
    <mergeCell ref="P1:Y1"/>
    <mergeCell ref="C5:C6"/>
  </mergeCells>
  <conditionalFormatting sqref="H9:BF14">
    <cfRule type="expression" priority="5" dxfId="9" stopIfTrue="1">
      <formula>AND($D9&lt;=H$6,$D9+ROUNDDOWN(($E9-$D9+1)*$C9,0)-1&gt;=H$6)</formula>
    </cfRule>
    <cfRule type="expression" priority="6" dxfId="10" stopIfTrue="0">
      <formula>AND(ISNUMBER(H$6),EOMONTH(H$6,-1)+1&lt;=$E9,EOMONTH(H$6,0)&gt;=$D9)</formula>
    </cfRule>
  </conditionalFormatting>
  <conditionalFormatting sqref="H16:BF22">
    <cfRule type="expression" priority="7" dxfId="13" stopIfTrue="1">
      <formula>AND($D16&lt;=H$6,$D16+ROUNDDOWN(($E16-$D16+1)*$C16,0)-1&gt;=H$6)</formula>
    </cfRule>
    <cfRule type="expression" priority="8" dxfId="14" stopIfTrue="0">
      <formula>AND(ISNUMBER(H$6),EOMONTH(H$6,-1)+1&lt;=$E16,EOMONTH(H$6,0)&gt;=$D16)</formula>
    </cfRule>
  </conditionalFormatting>
  <dataValidations count="11">
    <dataValidation sqref="P2" showDropDown="0" showInputMessage="1" showErrorMessage="0" allowBlank="1" promptTitle="Display Week" prompt="Changing this number will scroll the Gantt Chart view." type="whole" operator="greaterThanOrEqual">
      <formula1>1</formula1>
    </dataValidation>
    <dataValidation sqref="A1" showDropDown="0" showInputMessage="1" showErrorMessage="1" allowBlank="1" prompt="Create a Project Schedule in this worksheet._x000a_Enter title of this project in cell B1. _x000a_Information on how to use this worksheet, including instructions for screen readers and the author of this workbook, is in the About worksheet._x000a_"/>
    <dataValidation sqref="A2" showDropDown="0" showInputMessage="1" showErrorMessage="1" allowBlank="1" prompt="Enter Company name in cel B2."/>
    <dataValidation sqref="A3" showDropDown="0" showInputMessage="1" showErrorMessage="1" allowBlank="1" prompt="Enter the name of the Project Lead in cell C3. Enter the Project Start date in cell Q1. Project Start: label is in cell I1."/>
    <dataValidation sqref="A9:A10" showDropDown="0" showInputMessage="1" showErrorMessage="1" allowBlank="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dataValidation sqref="A11" showDropDown="0" showInputMessage="1" showErrorMessage="1" allowBlank="1" prompt="Rows 10 through 13 repeat the pattern from row 9. _x000a__x000a_Repeat the instructions from cell A9 for all task rows in this worksheet. _x000a__x000a_Continue entering tasks in cells A10 through A13 or go to cell A14 to learn more."/>
    <dataValidation sqref="A5:A6" showDropDown="0" showInputMessage="1" showErrorMessage="1" allowBlank="1" prompt="Cells I5 through BL5 contain the day number for the week represented in the cell block above each date and are auto calculated._x000a__x000a_Today's date is outlined from today's date in row 5 through the entire date column to the end of the project schedule."/>
    <dataValidation sqref="A8" showDropDown="0" showInputMessage="1" showErrorMessage="1" allowBlank="1" prompt="Cell B8 contains the Phase 1 sample title. Enter a new title in cell B8._x000a_To delete the phase and work only from tasks, simply delete this row."/>
    <dataValidation sqref="A23" showDropDown="0" showInputMessage="1" showErrorMessage="1" allowBlank="1" prompt="This row marks the end of the Project Schedule. DO NOT enter anything in this row. _x000a_Insert new rows ABOVE this one to continue building out your Project Schedule."/>
    <dataValidation sqref="A15" showDropDown="0" showInputMessage="1" showErrorMessage="1" allowBlank="1" prompt="Cell B14 contains the Phase 2 sample title. Enter a new title in cell B14._x000a_To delete the phase and work only from tasks, simply delete this row. To remove the phase, simply delete the row. Add tasks to previous phase by entering a new row above this one._x000a_"/>
    <dataValidation sqref="A4" showDropDown="0" showInputMessage="1" showErrorMessage="1" allowBlank="1" prompt="The Display week in cell Q2 is the starting week to display in the project schedule in cell I4. The project start date is Week 1. To change the display week, enter a new week number in cell Q2._x000a__x000a_Start date for each week is auto calculated starting in I4."/>
  </dataValidations>
  <printOptions horizontalCentered="1"/>
  <pageMargins left="0.35" right="0.35" top="0.35" bottom="0.5" header="0.3" footer="0.3"/>
  <pageSetup orientation="landscape" fitToHeight="1" fitToWidth="1"/>
  <headerFooter differentFirst="1" scaleWithDoc="0">
    <oddHeader/>
    <oddFooter>&amp;L&amp;C&amp;R</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B24"/>
  <sheetViews>
    <sheetView showGridLines="0" zoomScaleNormal="100" workbookViewId="0">
      <selection activeCell="A1" sqref="A1"/>
    </sheetView>
  </sheetViews>
  <sheetFormatPr baseColWidth="8" defaultColWidth="9" defaultRowHeight="12.5"/>
  <cols>
    <col width="87" customWidth="1" style="5" min="1" max="1"/>
    <col width="9" customWidth="1" style="1" min="2" max="2"/>
    <col width="13" customWidth="1" style="1" min="3" max="16384"/>
    <col width="13" customWidth="1" style="127" min="4" max="4"/>
    <col width="13" customWidth="1" style="127" min="5" max="5"/>
    <col width="13" customWidth="1" style="127" min="6" max="6"/>
    <col width="13" customWidth="1" style="127" min="7" max="7"/>
    <col width="13" customWidth="1" style="127" min="8" max="8"/>
    <col width="13" customWidth="1" style="127" min="9" max="9"/>
    <col width="13" customWidth="1" style="127" min="10" max="10"/>
    <col width="13" customWidth="1" style="127" min="11" max="11"/>
    <col width="13" customWidth="1" style="127" min="12" max="12"/>
    <col width="13" customWidth="1" style="127" min="13" max="13"/>
    <col width="13" customWidth="1" style="127" min="14" max="14"/>
    <col width="13" customWidth="1" style="127" min="15" max="15"/>
    <col width="13" customWidth="1" style="127" min="16" max="16"/>
    <col width="13" customWidth="1" style="127" min="17" max="17"/>
    <col width="13" customWidth="1" style="127" min="18" max="18"/>
    <col width="13" customWidth="1" style="127" min="19" max="19"/>
    <col width="13" customWidth="1" style="127" min="20" max="20"/>
    <col width="13" customWidth="1" style="127" min="21" max="21"/>
    <col width="13" customWidth="1" style="127" min="22" max="22"/>
    <col width="13" customWidth="1" style="127" min="23" max="23"/>
    <col width="13" customWidth="1" style="127" min="24" max="24"/>
    <col width="13" customWidth="1" style="127" min="25" max="25"/>
    <col width="13" customWidth="1" style="127" min="26" max="26"/>
    <col width="13" customWidth="1" style="127" min="27" max="27"/>
    <col width="13" customWidth="1" style="127" min="28" max="28"/>
    <col width="13" customWidth="1" style="127" min="29" max="29"/>
    <col width="13" customWidth="1" style="127" min="30" max="30"/>
    <col width="13" customWidth="1" style="127" min="31" max="31"/>
    <col width="13" customWidth="1" style="127" min="32" max="32"/>
    <col width="13" customWidth="1" style="127" min="33" max="33"/>
    <col width="13" customWidth="1" style="127" min="34" max="34"/>
    <col width="13" customWidth="1" style="127" min="35" max="35"/>
    <col width="13" customWidth="1" style="127" min="36" max="36"/>
    <col width="13" customWidth="1" style="127" min="37" max="37"/>
    <col width="13" customWidth="1" style="127" min="38" max="38"/>
    <col width="13" customWidth="1" style="127" min="39" max="39"/>
    <col width="13" customWidth="1" style="127" min="40" max="40"/>
    <col width="13" customWidth="1" style="127" min="41" max="41"/>
    <col width="13" customWidth="1" style="127" min="42" max="42"/>
    <col width="13" customWidth="1" style="127" min="43" max="43"/>
    <col width="13" customWidth="1" style="127" min="44" max="44"/>
    <col width="13" customWidth="1" style="127" min="45" max="45"/>
    <col width="13" customWidth="1" style="127" min="46" max="46"/>
    <col width="13" customWidth="1" style="127" min="47" max="47"/>
    <col width="13" customWidth="1" style="127" min="48" max="48"/>
    <col width="13" customWidth="1" style="127" min="49" max="49"/>
    <col width="13" customWidth="1" style="127" min="50" max="50"/>
    <col width="13" customWidth="1" style="127" min="51" max="51"/>
    <col width="13" customWidth="1" style="127" min="52" max="52"/>
    <col width="13" customWidth="1" style="127" min="53" max="53"/>
    <col width="13" customWidth="1" style="127" min="54" max="54"/>
    <col width="13" customWidth="1" style="127" min="55" max="55"/>
    <col width="13" customWidth="1" style="127" min="56" max="56"/>
    <col width="13" customWidth="1" style="127" min="57" max="57"/>
    <col width="13" customWidth="1" style="127" min="58" max="58"/>
    <col width="13" customWidth="1" style="127" min="59" max="59"/>
    <col width="13" customWidth="1" style="127" min="60" max="60"/>
    <col width="13" customWidth="1" style="127" min="61" max="61"/>
    <col width="13" customWidth="1" style="127" min="62" max="62"/>
    <col width="13" customWidth="1" style="127" min="63" max="63"/>
    <col width="13" customWidth="1" style="127" min="64" max="64"/>
    <col width="13" customWidth="1" style="127" min="65" max="65"/>
    <col width="13" customWidth="1" style="127" min="66" max="66"/>
    <col width="13" customWidth="1" style="127" min="67" max="67"/>
    <col width="13" customWidth="1" style="127" min="68" max="68"/>
    <col width="13" customWidth="1" style="127" min="69" max="69"/>
    <col width="13" customWidth="1" style="127" min="70" max="70"/>
    <col width="13" customWidth="1" style="127" min="71" max="71"/>
    <col width="13" customWidth="1" style="127" min="72" max="72"/>
    <col width="13" customWidth="1" style="127" min="73" max="73"/>
    <col width="13" customWidth="1" style="127" min="74" max="74"/>
    <col width="13" customWidth="1" style="127" min="75" max="75"/>
    <col width="13" customWidth="1" style="127" min="76" max="76"/>
    <col width="13" customWidth="1" style="127" min="77" max="77"/>
    <col width="13" customWidth="1" style="127" min="78" max="78"/>
    <col width="13" customWidth="1" style="127" min="79" max="79"/>
    <col width="13" customWidth="1" style="127" min="80" max="80"/>
    <col width="13" customWidth="1" style="127" min="81" max="81"/>
    <col width="13" customWidth="1" style="127" min="82" max="82"/>
    <col width="13" customWidth="1" style="127" min="83" max="83"/>
    <col width="13" customWidth="1" style="127" min="84" max="84"/>
    <col width="13" customWidth="1" style="127" min="85" max="85"/>
    <col width="13" customWidth="1" style="127" min="86" max="86"/>
    <col width="13" customWidth="1" style="127" min="87" max="87"/>
    <col width="13" customWidth="1" style="127" min="88" max="88"/>
    <col width="13" customWidth="1" style="127" min="89" max="89"/>
    <col width="13" customWidth="1" style="127" min="90" max="90"/>
    <col width="13" customWidth="1" style="127" min="91" max="91"/>
    <col width="13" customWidth="1" style="127" min="92" max="92"/>
    <col width="13" customWidth="1" style="127" min="93" max="93"/>
    <col width="13" customWidth="1" style="127" min="94" max="94"/>
    <col width="13" customWidth="1" style="127" min="95" max="95"/>
    <col width="13" customWidth="1" style="127" min="96" max="96"/>
    <col width="13" customWidth="1" style="127" min="97" max="97"/>
    <col width="13" customWidth="1" style="127" min="98" max="98"/>
    <col width="13" customWidth="1" style="127" min="99" max="99"/>
    <col width="13" customWidth="1" style="127" min="100" max="100"/>
    <col width="13" customWidth="1" style="127" min="101" max="101"/>
    <col width="13" customWidth="1" style="127" min="102" max="102"/>
    <col width="13" customWidth="1" style="127" min="103" max="103"/>
    <col width="13" customWidth="1" style="127" min="104" max="104"/>
    <col width="13" customWidth="1" style="127" min="105" max="105"/>
    <col width="13" customWidth="1" style="127" min="106" max="106"/>
    <col width="13" customWidth="1" style="127" min="107" max="107"/>
    <col width="13" customWidth="1" style="127" min="108" max="108"/>
    <col width="13" customWidth="1" style="127" min="109" max="109"/>
    <col width="13" customWidth="1" style="127" min="110" max="110"/>
    <col width="13" customWidth="1" style="127" min="111" max="111"/>
    <col width="13" customWidth="1" style="127" min="112" max="112"/>
    <col width="13" customWidth="1" style="127" min="113" max="113"/>
    <col width="13" customWidth="1" style="127" min="114" max="114"/>
    <col width="13" customWidth="1" style="127" min="115" max="115"/>
    <col width="13" customWidth="1" style="127" min="116" max="116"/>
    <col width="13" customWidth="1" style="127" min="117" max="117"/>
    <col width="13" customWidth="1" style="127" min="118" max="118"/>
    <col width="13" customWidth="1" style="127" min="119" max="119"/>
    <col width="13" customWidth="1" style="127" min="120" max="120"/>
    <col width="13" customWidth="1" style="127" min="121" max="121"/>
    <col width="13" customWidth="1" style="127" min="122" max="122"/>
    <col width="13" customWidth="1" style="127" min="123" max="123"/>
    <col width="13" customWidth="1" style="127" min="124" max="124"/>
    <col width="13" customWidth="1" style="127" min="125" max="125"/>
    <col width="13" customWidth="1" style="127" min="126" max="126"/>
    <col width="13" customWidth="1" style="127" min="127" max="127"/>
    <col width="13" customWidth="1" style="127" min="128" max="128"/>
    <col width="13" customWidth="1" style="127" min="129" max="129"/>
    <col width="13" customWidth="1" style="127" min="130" max="130"/>
    <col width="13" customWidth="1" style="127" min="131" max="131"/>
    <col width="13" customWidth="1" style="127" min="132" max="132"/>
    <col width="13" customWidth="1" style="127" min="133" max="133"/>
    <col width="13" customWidth="1" style="127" min="134" max="134"/>
    <col width="13" customWidth="1" style="127" min="135" max="135"/>
    <col width="13" customWidth="1" style="127" min="136" max="136"/>
    <col width="13" customWidth="1" style="127" min="137" max="137"/>
    <col width="13" customWidth="1" style="127" min="138" max="138"/>
    <col width="13" customWidth="1" style="127" min="139" max="139"/>
    <col width="13" customWidth="1" style="127" min="140" max="140"/>
    <col width="13" customWidth="1" style="127" min="141" max="141"/>
    <col width="13" customWidth="1" style="127" min="142" max="142"/>
    <col width="13" customWidth="1" style="127" min="143" max="143"/>
    <col width="13" customWidth="1" style="127" min="144" max="144"/>
    <col width="13" customWidth="1" style="127" min="145" max="145"/>
    <col width="13" customWidth="1" style="127" min="146" max="146"/>
    <col width="13" customWidth="1" style="127" min="147" max="147"/>
    <col width="13" customWidth="1" style="127" min="148" max="148"/>
    <col width="13" customWidth="1" style="127" min="149" max="149"/>
    <col width="13" customWidth="1" style="127" min="150" max="150"/>
    <col width="13" customWidth="1" style="127" min="151" max="151"/>
    <col width="13" customWidth="1" style="127" min="152" max="152"/>
    <col width="13" customWidth="1" style="127" min="153" max="153"/>
    <col width="13" customWidth="1" style="127" min="154" max="154"/>
    <col width="13" customWidth="1" style="127" min="155" max="155"/>
    <col width="13" customWidth="1" style="127" min="156" max="156"/>
    <col width="13" customWidth="1" style="127" min="157" max="157"/>
    <col width="13" customWidth="1" style="127" min="158" max="158"/>
    <col width="13" customWidth="1" style="127" min="159" max="159"/>
    <col width="13" customWidth="1" style="127" min="160" max="160"/>
    <col width="13" customWidth="1" style="127" min="161" max="161"/>
    <col width="13" customWidth="1" style="127" min="162" max="162"/>
    <col width="13" customWidth="1" style="127" min="163" max="163"/>
    <col width="13" customWidth="1" style="127" min="164" max="164"/>
    <col width="13" customWidth="1" style="127" min="165" max="165"/>
    <col width="13" customWidth="1" style="127" min="166" max="166"/>
    <col width="13" customWidth="1" style="127" min="167" max="167"/>
    <col width="13" customWidth="1" style="127" min="168" max="168"/>
    <col width="13" customWidth="1" style="127" min="169" max="169"/>
    <col width="13" customWidth="1" style="127" min="170" max="170"/>
    <col width="13" customWidth="1" style="127" min="171" max="171"/>
    <col width="13" customWidth="1" style="127" min="172" max="172"/>
    <col width="13" customWidth="1" style="127" min="173" max="173"/>
    <col width="13" customWidth="1" style="127" min="174" max="174"/>
    <col width="13" customWidth="1" style="127" min="175" max="175"/>
    <col width="13" customWidth="1" style="127" min="176" max="176"/>
    <col width="13" customWidth="1" style="127" min="177" max="177"/>
    <col width="13" customWidth="1" style="127" min="178" max="178"/>
    <col width="13" customWidth="1" style="127" min="179" max="179"/>
    <col width="13" customWidth="1" style="127" min="180" max="180"/>
    <col width="13" customWidth="1" style="127" min="181" max="181"/>
    <col width="13" customWidth="1" style="127" min="182" max="182"/>
    <col width="13" customWidth="1" style="127" min="183" max="183"/>
    <col width="13" customWidth="1" style="127" min="184" max="184"/>
    <col width="13" customWidth="1" style="127" min="185" max="185"/>
    <col width="13" customWidth="1" style="127" min="186" max="186"/>
    <col width="13" customWidth="1" style="127" min="187" max="187"/>
    <col width="13" customWidth="1" style="127" min="188" max="188"/>
    <col width="13" customWidth="1" style="127" min="189" max="189"/>
    <col width="13" customWidth="1" style="127" min="190" max="190"/>
    <col width="13" customWidth="1" style="127" min="191" max="191"/>
    <col width="13" customWidth="1" style="127" min="192" max="192"/>
    <col width="13" customWidth="1" style="127" min="193" max="193"/>
    <col width="13" customWidth="1" style="127" min="194" max="194"/>
    <col width="13" customWidth="1" style="127" min="195" max="195"/>
    <col width="13" customWidth="1" style="127" min="196" max="196"/>
    <col width="13" customWidth="1" style="127" min="197" max="197"/>
    <col width="13" customWidth="1" style="127" min="198" max="198"/>
    <col width="13" customWidth="1" style="127" min="199" max="199"/>
    <col width="13" customWidth="1" style="127" min="200" max="200"/>
  </cols>
  <sheetData>
    <row r="1" ht="46.5" customHeight="1" s="127"/>
    <row r="2" ht="15.5" customFormat="1" customHeight="1" s="7">
      <c r="A2" s="25" t="inlineStr">
        <is>
          <t>SIMPLE GANTT CHART by Vertex42.com</t>
        </is>
      </c>
      <c r="B2" s="6" t="n"/>
    </row>
    <row r="3" ht="27" customFormat="1" customHeight="1" s="9">
      <c r="A3" s="26" t="n"/>
      <c r="B3" s="10" t="n"/>
    </row>
    <row r="4" ht="30.5" customFormat="1" customHeight="1" s="8">
      <c r="A4" s="27" t="inlineStr">
        <is>
          <t>About This Template</t>
        </is>
      </c>
    </row>
    <row r="5" ht="74.25" customHeight="1" s="127">
      <c r="A5" s="28" t="inlineStr">
        <is>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is>
      </c>
    </row>
    <row r="6" ht="26.25" customHeight="1" s="127">
      <c r="A6" s="27" t="inlineStr">
        <is>
          <t>Guide for Screen Readers</t>
        </is>
      </c>
    </row>
    <row r="7" ht="205.15" customFormat="1" customHeight="1" s="5">
      <c r="A7" s="29" t="inlineStr">
        <is>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is>
      </c>
    </row>
    <row r="8" ht="30.5" customFormat="1" customHeight="1" s="8">
      <c r="A8" s="27" t="inlineStr">
        <is>
          <t>Additional Help</t>
        </is>
      </c>
    </row>
    <row r="9" ht="42" customHeight="1" s="127">
      <c r="A9" s="28" t="inlineStr">
        <is>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is>
      </c>
    </row>
    <row r="10" ht="28.15" customFormat="1" customHeight="1" s="5">
      <c r="A10" s="30" t="inlineStr">
        <is>
          <t>How to Use the Simple Gantt Chart</t>
        </is>
      </c>
    </row>
    <row r="11" ht="30.5" customFormat="1" customHeight="1" s="8">
      <c r="A11" s="27" t="inlineStr">
        <is>
          <t>More Project Management Templates</t>
        </is>
      </c>
    </row>
    <row r="12" ht="28" customHeight="1" s="127">
      <c r="A12" s="28" t="inlineStr">
        <is>
          <t>Visit Vertex42.com to download other project management templates, including different types of project schedules, Gantt charts, tasks lists, etc.</t>
        </is>
      </c>
    </row>
    <row r="13" ht="28.15" customFormat="1" customHeight="1" s="5">
      <c r="A13" s="30" t="inlineStr">
        <is>
          <t>Project Management Templates</t>
        </is>
      </c>
    </row>
    <row r="14" ht="30.5" customFormat="1" customHeight="1" s="8">
      <c r="A14" s="27" t="inlineStr">
        <is>
          <t>About Vertex42</t>
        </is>
      </c>
    </row>
    <row r="15" ht="75" customHeight="1" s="127">
      <c r="A15" s="28" t="inlineStr">
        <is>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is>
      </c>
    </row>
    <row r="16" ht="70" customHeight="1" s="127">
      <c r="A16" s="28" t="inlineStr">
        <is>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is>
      </c>
    </row>
    <row r="17" s="127">
      <c r="A17" s="31" t="n"/>
    </row>
    <row r="18" s="127">
      <c r="A18" s="31" t="n"/>
    </row>
    <row r="19" s="127">
      <c r="A19" s="31" t="n"/>
    </row>
    <row r="20" s="127">
      <c r="A20" s="31" t="n"/>
    </row>
    <row r="21" s="127">
      <c r="A21" s="31" t="n"/>
    </row>
    <row r="22" s="127">
      <c r="A22" s="31" t="n"/>
    </row>
    <row r="23" s="127">
      <c r="A23" s="31" t="n"/>
    </row>
    <row r="24" s="127">
      <c r="A24" s="31" t="n"/>
    </row>
    <row r="25" s="127"/>
    <row r="26" s="127"/>
    <row r="27" s="127"/>
    <row r="28" s="127"/>
    <row r="29" s="127"/>
    <row r="30" s="127"/>
    <row r="31" s="127"/>
    <row r="32" s="127"/>
    <row r="33" s="127"/>
    <row r="34" s="127"/>
    <row r="35" s="127"/>
    <row r="36" s="127"/>
    <row r="37" s="127"/>
    <row r="38" s="127"/>
    <row r="39" s="127"/>
    <row r="40" s="127"/>
    <row r="41" s="127"/>
    <row r="42" s="127"/>
    <row r="43" s="127"/>
    <row r="44" s="127"/>
    <row r="45" s="127"/>
    <row r="46" s="127"/>
    <row r="47" s="127"/>
    <row r="48" s="127"/>
    <row r="49" s="127"/>
    <row r="50" s="127"/>
    <row r="51" s="127"/>
    <row r="52" s="127"/>
    <row r="53" s="127"/>
    <row r="54" s="127"/>
    <row r="55" s="127"/>
    <row r="56" s="127"/>
    <row r="57" s="127"/>
    <row r="58" s="127"/>
    <row r="59" s="127"/>
    <row r="60" s="127"/>
    <row r="61" s="127"/>
    <row r="62" s="127"/>
    <row r="63" s="127"/>
    <row r="64" s="127"/>
    <row r="65" s="127"/>
    <row r="66" s="127"/>
    <row r="67" s="127"/>
    <row r="68" s="127"/>
    <row r="69" s="127"/>
    <row r="70" s="127"/>
    <row r="71" s="127"/>
    <row r="72" s="127"/>
    <row r="73" s="127"/>
    <row r="74" s="127"/>
    <row r="75" s="127"/>
    <row r="76" s="127"/>
    <row r="77" s="127"/>
    <row r="78" s="127"/>
    <row r="79" s="127"/>
    <row r="80" s="127"/>
    <row r="81" s="127"/>
    <row r="82" s="127"/>
    <row r="83" s="127"/>
    <row r="84" s="127"/>
    <row r="85" s="127"/>
    <row r="86" s="127"/>
    <row r="87" s="127"/>
    <row r="88" s="127"/>
    <row r="89" s="127"/>
    <row r="90" s="127"/>
    <row r="91" s="127"/>
    <row r="92" s="127"/>
    <row r="93" s="127"/>
    <row r="94" s="127"/>
    <row r="95" s="127"/>
    <row r="96" s="127"/>
    <row r="97" s="127"/>
    <row r="98" s="127"/>
    <row r="99" s="127"/>
    <row r="100" s="127"/>
    <row r="101" s="127"/>
    <row r="102" s="127"/>
    <row r="103" s="127"/>
    <row r="104" s="127"/>
    <row r="105" s="127"/>
    <row r="106" s="127"/>
    <row r="107" s="127"/>
    <row r="108" s="127"/>
    <row r="109" s="127"/>
    <row r="110" s="127"/>
    <row r="111" s="127"/>
    <row r="112" s="127"/>
    <row r="113" s="127"/>
    <row r="114" s="127"/>
    <row r="115" s="127"/>
    <row r="116" s="127"/>
    <row r="117" s="127"/>
    <row r="118" s="127"/>
    <row r="119" s="127"/>
    <row r="120" s="127"/>
    <row r="121" s="127"/>
    <row r="122" s="127"/>
    <row r="123" s="127"/>
    <row r="124" s="127"/>
    <row r="125" s="127"/>
    <row r="126" s="127"/>
    <row r="127" s="127"/>
    <row r="128" s="127"/>
    <row r="129" s="127"/>
    <row r="130" s="127"/>
    <row r="131" s="127"/>
    <row r="132" s="127"/>
    <row r="133" s="127"/>
    <row r="134" s="127"/>
    <row r="135" s="127"/>
    <row r="136" s="127"/>
    <row r="137" s="127"/>
    <row r="138" s="127"/>
    <row r="139" s="127"/>
    <row r="140" s="127"/>
    <row r="141" s="127"/>
    <row r="142" s="127"/>
    <row r="143" s="127"/>
    <row r="144" s="127"/>
    <row r="145" s="127"/>
    <row r="146" s="127"/>
    <row r="147" s="127"/>
    <row r="148" s="127"/>
    <row r="149" s="127"/>
    <row r="150" s="127"/>
    <row r="151" s="127"/>
    <row r="152" s="127"/>
    <row r="153" s="127"/>
    <row r="154" s="127"/>
    <row r="155" s="127"/>
    <row r="156" s="127"/>
    <row r="157" s="127"/>
    <row r="158" s="127"/>
    <row r="159" s="127"/>
    <row r="160" s="127"/>
    <row r="161" s="127"/>
    <row r="162" s="127"/>
    <row r="163" s="127"/>
    <row r="164" s="127"/>
    <row r="165" s="127"/>
    <row r="166" s="127"/>
    <row r="167" s="127"/>
    <row r="168" s="127"/>
    <row r="169" s="127"/>
    <row r="170" s="127"/>
    <row r="171" s="127"/>
    <row r="172" s="127"/>
    <row r="173" s="127"/>
    <row r="174" s="127"/>
    <row r="175" s="127"/>
    <row r="176" s="127"/>
    <row r="177" s="127"/>
    <row r="178" s="127"/>
    <row r="179" s="127"/>
    <row r="180" s="127"/>
    <row r="181" s="127"/>
    <row r="182" s="127"/>
    <row r="183" s="127"/>
    <row r="184" s="127"/>
    <row r="185" s="127"/>
    <row r="186" s="127"/>
    <row r="187" s="127"/>
    <row r="188" s="127"/>
    <row r="189" s="127"/>
    <row r="190" s="127"/>
    <row r="191" s="127"/>
    <row r="192" s="127"/>
    <row r="193" s="127"/>
    <row r="194" s="127"/>
    <row r="195" s="127"/>
    <row r="196" s="127"/>
    <row r="197" s="127"/>
    <row r="198" s="127"/>
    <row r="199" s="127"/>
    <row r="200" s="127"/>
    <row r="201" s="127"/>
    <row r="202" s="127"/>
    <row r="203" s="127"/>
    <row r="204" s="127"/>
    <row r="205" s="127"/>
    <row r="206" s="127"/>
    <row r="207" s="127"/>
    <row r="208" s="127"/>
    <row r="209" s="127"/>
    <row r="210" s="127"/>
    <row r="211" s="127"/>
    <row r="212" s="127"/>
    <row r="213" s="127"/>
    <row r="214" s="127"/>
    <row r="215" s="127"/>
    <row r="216" s="127"/>
    <row r="217" s="127"/>
    <row r="218" s="127"/>
    <row r="219" s="127"/>
    <row r="220" s="127"/>
    <row r="221" s="127"/>
    <row r="222" s="127"/>
    <row r="223" s="127"/>
    <row r="224" s="127"/>
    <row r="225" s="127"/>
    <row r="226" s="127"/>
    <row r="227" s="127"/>
    <row r="228" s="127"/>
    <row r="229" s="127"/>
    <row r="230" s="127"/>
    <row r="231" s="127"/>
    <row r="232" s="127"/>
    <row r="233" s="127"/>
    <row r="234" s="127"/>
    <row r="235" s="127"/>
    <row r="236" s="127"/>
    <row r="237" s="127"/>
    <row r="238" s="127"/>
    <row r="239" s="127"/>
    <row r="240" s="127"/>
    <row r="241" s="127"/>
    <row r="242" s="127"/>
    <row r="243" s="127"/>
    <row r="244" s="127"/>
    <row r="245" s="127"/>
    <row r="246" s="127"/>
    <row r="247" s="127"/>
    <row r="248" s="127"/>
    <row r="249" s="127"/>
    <row r="250" s="127"/>
    <row r="251" s="127"/>
    <row r="252" s="127"/>
    <row r="253" s="127"/>
    <row r="254" s="127"/>
    <row r="255" s="127"/>
    <row r="256" s="127"/>
    <row r="257" s="127"/>
    <row r="258" s="127"/>
    <row r="259" s="127"/>
    <row r="260" s="127"/>
    <row r="261" s="127"/>
    <row r="262" s="127"/>
    <row r="263" s="127"/>
    <row r="264" s="127"/>
    <row r="265" s="127"/>
    <row r="266" s="127"/>
    <row r="267" s="127"/>
    <row r="268" s="127"/>
    <row r="269" s="127"/>
    <row r="270" s="127"/>
    <row r="271" s="127"/>
    <row r="272" s="127"/>
    <row r="273" s="127"/>
    <row r="274" s="127"/>
    <row r="275" s="127"/>
    <row r="276" s="127"/>
    <row r="277" s="127"/>
    <row r="278" s="127"/>
    <row r="279" s="127"/>
    <row r="280" s="127"/>
    <row r="281" s="127"/>
    <row r="282" s="127"/>
    <row r="283" s="127"/>
    <row r="284" s="127"/>
    <row r="285" s="127"/>
    <row r="286" s="127"/>
    <row r="287" s="127"/>
    <row r="288" s="127"/>
    <row r="289" s="127"/>
    <row r="290" s="127"/>
    <row r="291" s="127"/>
    <row r="292" s="127"/>
    <row r="293" s="127"/>
    <row r="294" s="127"/>
    <row r="295" s="127"/>
    <row r="296" s="127"/>
    <row r="297" s="127"/>
    <row r="298" s="127"/>
    <row r="299" s="127"/>
    <row r="300" s="127"/>
    <row r="301" s="127"/>
    <row r="302" s="127"/>
    <row r="303" s="127"/>
    <row r="304" s="127"/>
    <row r="305" s="127"/>
    <row r="306" s="127"/>
    <row r="307" s="127"/>
    <row r="308" s="127"/>
    <row r="309" s="127"/>
    <row r="310" s="127"/>
    <row r="311" s="127"/>
    <row r="312" s="127"/>
    <row r="313" s="127"/>
    <row r="314" s="127"/>
    <row r="315" s="127"/>
    <row r="316" s="127"/>
    <row r="317" s="127"/>
    <row r="318" s="127"/>
    <row r="319" s="127"/>
    <row r="320" s="127"/>
    <row r="321" s="127"/>
    <row r="322" s="127"/>
    <row r="323" s="127"/>
    <row r="324" s="127"/>
    <row r="325" s="127"/>
    <row r="326" s="127"/>
    <row r="327" s="127"/>
    <row r="328" s="127"/>
    <row r="329" s="127"/>
    <row r="330" s="127"/>
    <row r="331" s="127"/>
    <row r="332" s="127"/>
    <row r="333" s="127"/>
    <row r="334" s="127"/>
    <row r="335" s="127"/>
    <row r="336" s="127"/>
    <row r="337" s="127"/>
    <row r="338" s="127"/>
    <row r="339" s="127"/>
    <row r="340" s="127"/>
    <row r="341" s="127"/>
    <row r="342" s="127"/>
    <row r="343" s="127"/>
    <row r="344" s="127"/>
    <row r="345" s="127"/>
    <row r="346" s="127"/>
    <row r="347" s="127"/>
    <row r="348" s="127"/>
    <row r="349" s="127"/>
    <row r="350" s="127"/>
    <row r="351" s="127"/>
    <row r="352" s="127"/>
    <row r="353" s="127"/>
    <row r="354" s="127"/>
    <row r="355" s="127"/>
    <row r="356" s="127"/>
    <row r="357" s="127"/>
    <row r="358" s="127"/>
    <row r="359" s="127"/>
    <row r="360" s="127"/>
    <row r="361" s="127"/>
    <row r="362" s="127"/>
    <row r="363" s="127"/>
    <row r="364" s="127"/>
    <row r="365" s="127"/>
    <row r="366" s="127"/>
    <row r="367" s="127"/>
    <row r="368" s="127"/>
    <row r="369" s="127"/>
    <row r="370" s="127"/>
    <row r="371" s="127"/>
    <row r="372" s="127"/>
    <row r="373" s="127"/>
    <row r="374" s="127"/>
    <row r="375" s="127"/>
    <row r="376" s="127"/>
    <row r="377" s="127"/>
    <row r="378" s="127"/>
    <row r="379" s="127"/>
    <row r="380" s="127"/>
    <row r="381" s="127"/>
    <row r="382" s="127"/>
    <row r="383" s="127"/>
    <row r="384" s="127"/>
    <row r="385" s="127"/>
    <row r="386" s="127"/>
    <row r="387" s="127"/>
    <row r="388" s="127"/>
    <row r="389" s="127"/>
    <row r="390" s="127"/>
    <row r="391" s="127"/>
    <row r="392" s="127"/>
    <row r="393" s="127"/>
    <row r="394" s="127"/>
    <row r="395" s="127"/>
    <row r="396" s="127"/>
    <row r="397" s="127"/>
    <row r="398" s="127"/>
    <row r="399" s="127"/>
    <row r="400" s="127"/>
    <row r="401" s="127"/>
    <row r="402" s="127"/>
    <row r="403" s="127"/>
    <row r="404" s="127"/>
    <row r="405" s="127"/>
    <row r="406" s="127"/>
    <row r="407" s="127"/>
    <row r="408" s="127"/>
    <row r="409" s="127"/>
    <row r="410" s="127"/>
    <row r="411" s="127"/>
    <row r="412" s="127"/>
    <row r="413" s="127"/>
    <row r="414" s="127"/>
    <row r="415" s="127"/>
    <row r="416" s="127"/>
    <row r="417" s="127"/>
    <row r="418" s="127"/>
    <row r="419" s="127"/>
    <row r="420" s="127"/>
    <row r="421" s="127"/>
    <row r="422" s="127"/>
    <row r="423" s="127"/>
    <row r="424" s="127"/>
    <row r="425" s="127"/>
    <row r="426" s="127"/>
    <row r="427" s="127"/>
    <row r="428" s="127"/>
    <row r="429" s="127"/>
    <row r="430" s="127"/>
    <row r="431" s="127"/>
    <row r="432" s="127"/>
    <row r="433" s="127"/>
    <row r="434" s="127"/>
    <row r="435" s="127"/>
    <row r="436" s="127"/>
    <row r="437" s="127"/>
    <row r="438" s="127"/>
    <row r="439" s="127"/>
    <row r="440" s="127"/>
    <row r="441" s="127"/>
    <row r="442" s="127"/>
    <row r="443" s="127"/>
    <row r="444" s="127"/>
    <row r="445" s="127"/>
    <row r="446" s="127"/>
    <row r="447" s="127"/>
    <row r="448" s="127"/>
    <row r="449" s="127"/>
    <row r="450" s="127"/>
    <row r="451" s="127"/>
    <row r="452" s="127"/>
    <row r="453" s="127"/>
    <row r="454" s="127"/>
    <row r="455" s="127"/>
    <row r="456" s="127"/>
    <row r="457" s="127"/>
    <row r="458" s="127"/>
    <row r="459" s="127"/>
    <row r="460" s="127"/>
    <row r="461" s="127"/>
    <row r="462" s="127"/>
    <row r="463" s="127"/>
    <row r="464" s="127"/>
    <row r="465" s="127"/>
    <row r="466" s="127"/>
    <row r="467" s="127"/>
    <row r="468" s="127"/>
    <row r="469" s="127"/>
    <row r="470" s="127"/>
    <row r="471" s="127"/>
    <row r="472" s="127"/>
    <row r="473" s="127"/>
    <row r="474" s="127"/>
    <row r="475" s="127"/>
    <row r="476" s="127"/>
    <row r="477" s="127"/>
    <row r="478" s="127"/>
    <row r="479" s="127"/>
    <row r="480" s="127"/>
    <row r="481" s="127"/>
    <row r="482" s="127"/>
    <row r="483" s="127"/>
    <row r="484" s="127"/>
    <row r="485" s="127"/>
    <row r="486" s="127"/>
    <row r="487" s="127"/>
    <row r="488" s="127"/>
    <row r="489" s="127"/>
    <row r="490" s="127"/>
    <row r="491" s="127"/>
    <row r="492" s="127"/>
    <row r="493" s="127"/>
    <row r="494" s="127"/>
    <row r="495" s="127"/>
    <row r="496" s="127"/>
    <row r="497" s="127"/>
    <row r="498" s="127"/>
    <row r="499" s="127"/>
    <row r="500" s="127"/>
  </sheetData>
  <hyperlinks>
    <hyperlink xmlns:r="http://schemas.openxmlformats.org/officeDocument/2006/relationships" ref="A2" r:id="rId1"/>
    <hyperlink xmlns:r="http://schemas.openxmlformats.org/officeDocument/2006/relationships" ref="A10" r:id="rId2"/>
    <hyperlink xmlns:r="http://schemas.openxmlformats.org/officeDocument/2006/relationships" ref="A13" r:id="rId3"/>
  </hyperlinks>
  <pageMargins left="0.5" right="0.5" top="0.5" bottom="0.5" header="0.3" footer="0.3"/>
  <pageSetup orientation="portrait"/>
  <drawing xmlns:r="http://schemas.openxmlformats.org/officeDocument/2006/relationships" r:id="rId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2024-10-30T21:01:26Z</dcterms:created>
  <dcterms:modified xmlns:dcterms="http://purl.org/dc/terms/" xmlns:xsi="http://www.w3.org/2001/XMLSchema-instance" xsi:type="dcterms:W3CDTF">2026-03-01T18:34:18Z</dcterms:modified>
  <cp:lastModifiedBy>Luano Rodrigues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MediaServiceImageTags" fmtid="{D5CDD505-2E9C-101B-9397-08002B2CF9AE}" pid="3">
    <vt:lpwstr xmlns:vt="http://schemas.openxmlformats.org/officeDocument/2006/docPropsVTypes"/>
  </property>
</Properties>
</file>